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0B9DAB70CF89090/Desktop/Documents/"/>
    </mc:Choice>
  </mc:AlternateContent>
  <xr:revisionPtr revIDLastSave="0" documentId="13_ncr:1_{CE8D1109-B97A-4CB2-AF6F-13DBB535318D}" xr6:coauthVersionLast="47" xr6:coauthVersionMax="47" xr10:uidLastSave="{00000000-0000-0000-0000-000000000000}"/>
  <bookViews>
    <workbookView xWindow="-108" yWindow="-108" windowWidth="23256" windowHeight="12456" firstSheet="11" activeTab="12" xr2:uid="{82AD8633-1E0B-48C5-B7F7-0265AE596EED}"/>
  </bookViews>
  <sheets>
    <sheet name="MODULE3 part16 " sheetId="2" r:id="rId1"/>
    <sheet name="part17" sheetId="3" r:id="rId2"/>
    <sheet name="part18" sheetId="4" r:id="rId3"/>
    <sheet name="PART19" sheetId="5" r:id="rId4"/>
    <sheet name="part20" sheetId="6" r:id="rId5"/>
    <sheet name="PART20-1" sheetId="7" r:id="rId6"/>
    <sheet name="PART20-2" sheetId="8" r:id="rId7"/>
    <sheet name="PART20-3" sheetId="9" r:id="rId8"/>
    <sheet name="part22" sheetId="10" r:id="rId9"/>
    <sheet name="part23" sheetId="11" r:id="rId10"/>
    <sheet name="Scenario Summary part-&gt;23-1" sheetId="12" r:id="rId11"/>
    <sheet name="part24" sheetId="13" r:id="rId12"/>
    <sheet name="part25" sheetId="14" r:id="rId13"/>
  </sheets>
  <definedNames>
    <definedName name="_xlnm._FilterDatabase" localSheetId="0" hidden="1">'MODULE3 part16 '!$A$1:$E$13</definedName>
    <definedName name="_xlnm.Criteria" localSheetId="0">'MODULE3 part16 '!$J$1:$J$2</definedName>
    <definedName name="_xlnm.Extract" localSheetId="0">'MODULE3 part16 '!$L$1:$P$1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</calcChain>
</file>

<file path=xl/sharedStrings.xml><?xml version="1.0" encoding="utf-8"?>
<sst xmlns="http://schemas.openxmlformats.org/spreadsheetml/2006/main" count="409" uniqueCount="225">
  <si>
    <t xml:space="preserve">DATE </t>
  </si>
  <si>
    <t>EMP</t>
  </si>
  <si>
    <t>DESG</t>
  </si>
  <si>
    <t>BASIC SALARY</t>
  </si>
  <si>
    <t>BONUS</t>
  </si>
  <si>
    <t xml:space="preserve">Ashok Singhania </t>
  </si>
  <si>
    <t>Sameer Kale</t>
  </si>
  <si>
    <t>Vinod Kale</t>
  </si>
  <si>
    <t xml:space="preserve">Ashok Singh </t>
  </si>
  <si>
    <t>Raj Singh</t>
  </si>
  <si>
    <t>Ravi Verma</t>
  </si>
  <si>
    <t>Kiran Katekar</t>
  </si>
  <si>
    <t>Santosh Kale</t>
  </si>
  <si>
    <t>Shankar Yadav</t>
  </si>
  <si>
    <t>Rajendra Verma</t>
  </si>
  <si>
    <t>Vinod Singh</t>
  </si>
  <si>
    <t>Viresh Pal</t>
  </si>
  <si>
    <t>Clerk</t>
  </si>
  <si>
    <t>Manager</t>
  </si>
  <si>
    <t>Supervisor</t>
  </si>
  <si>
    <t>Worker</t>
  </si>
  <si>
    <t>Yes</t>
  </si>
  <si>
    <t>No</t>
  </si>
  <si>
    <t>NAME OF STUDENT</t>
  </si>
  <si>
    <t>RAID POINTS</t>
  </si>
  <si>
    <t>Nitin Tomar</t>
  </si>
  <si>
    <t>Siddharth Desai</t>
  </si>
  <si>
    <t>Ajay Thakur</t>
  </si>
  <si>
    <t>Pawan Kumar Rawat</t>
  </si>
  <si>
    <t>Pardeep Narwal</t>
  </si>
  <si>
    <t>Name</t>
  </si>
  <si>
    <t>of</t>
  </si>
  <si>
    <t>Candidates</t>
  </si>
  <si>
    <t>Address</t>
  </si>
  <si>
    <t>Email</t>
  </si>
  <si>
    <t>KSHIRSAGAR</t>
  </si>
  <si>
    <t>GANESH</t>
  </si>
  <si>
    <t>BALASAHEB</t>
  </si>
  <si>
    <t>Mumbai</t>
  </si>
  <si>
    <t>gmail.com</t>
  </si>
  <si>
    <t>SALASKAR</t>
  </si>
  <si>
    <t>RAHUL</t>
  </si>
  <si>
    <t>DINESH</t>
  </si>
  <si>
    <t>Pune</t>
  </si>
  <si>
    <t>KOLGE</t>
  </si>
  <si>
    <t>ROHIT</t>
  </si>
  <si>
    <t>DEEPAK</t>
  </si>
  <si>
    <t>CHAUHAN</t>
  </si>
  <si>
    <t>NISHA</t>
  </si>
  <si>
    <t>FAUJDAR</t>
  </si>
  <si>
    <t>SHIRKAR</t>
  </si>
  <si>
    <t>ANKITA</t>
  </si>
  <si>
    <t>PRAKASH</t>
  </si>
  <si>
    <t>DUBEY</t>
  </si>
  <si>
    <t>SHRUTI</t>
  </si>
  <si>
    <t>SANJAY</t>
  </si>
  <si>
    <t>ADITI</t>
  </si>
  <si>
    <t>KAIYNAAT</t>
  </si>
  <si>
    <t>KHALIQUR</t>
  </si>
  <si>
    <t>REMAN</t>
  </si>
  <si>
    <t>SHAIKH</t>
  </si>
  <si>
    <t>GHODEKAR</t>
  </si>
  <si>
    <t>CHETAN</t>
  </si>
  <si>
    <t>UTTAM</t>
  </si>
  <si>
    <t>IRMAL</t>
  </si>
  <si>
    <t>NIRAJ</t>
  </si>
  <si>
    <t>AFREEN</t>
  </si>
  <si>
    <t>RABIULLAH</t>
  </si>
  <si>
    <t>SALMANI</t>
  </si>
  <si>
    <t>VISHAL</t>
  </si>
  <si>
    <t>SHIVAJI</t>
  </si>
  <si>
    <t>MALGUNDE</t>
  </si>
  <si>
    <t>DAREKAR</t>
  </si>
  <si>
    <t>HEMANT</t>
  </si>
  <si>
    <t>sudh1234</t>
  </si>
  <si>
    <t>YADAV</t>
  </si>
  <si>
    <t>VITHAL</t>
  </si>
  <si>
    <t>sonu2345</t>
  </si>
  <si>
    <t>sonu4114thakur</t>
  </si>
  <si>
    <t>sudh23944</t>
  </si>
  <si>
    <t>sudh686734</t>
  </si>
  <si>
    <t>Name of Student</t>
  </si>
  <si>
    <t>UPPER CASE</t>
  </si>
  <si>
    <t>lower case</t>
  </si>
  <si>
    <t>Proper Case</t>
  </si>
  <si>
    <t>Sanjay Thakur</t>
  </si>
  <si>
    <t>Jhonny Shani</t>
  </si>
  <si>
    <t>Laxmi Ray</t>
  </si>
  <si>
    <t>Imran Shakh</t>
  </si>
  <si>
    <t>Shadir Khan</t>
  </si>
  <si>
    <t>Chottu Kumar</t>
  </si>
  <si>
    <t>SANJAY THAKUR</t>
  </si>
  <si>
    <t>JHONNY SHANI</t>
  </si>
  <si>
    <t>LAXMI RAY</t>
  </si>
  <si>
    <t>IMRAN SHAKH</t>
  </si>
  <si>
    <t>SHADIR KHAN</t>
  </si>
  <si>
    <t>CHOTTU KUMAR</t>
  </si>
  <si>
    <t>sanjay thakur</t>
  </si>
  <si>
    <t>jhonny shani</t>
  </si>
  <si>
    <t>laxmi ray</t>
  </si>
  <si>
    <t>imran shakh</t>
  </si>
  <si>
    <t>shadir khan</t>
  </si>
  <si>
    <t>chottu kumar</t>
  </si>
  <si>
    <t>Full Name</t>
  </si>
  <si>
    <t>Superman Giridhari Yadav</t>
  </si>
  <si>
    <t>Shaktimaan Shashikant Kale</t>
  </si>
  <si>
    <t>Krish Sudhama Kadam</t>
  </si>
  <si>
    <t>Thor Chunnilal Gupta</t>
  </si>
  <si>
    <t>First Name</t>
  </si>
  <si>
    <t>Middle Name</t>
  </si>
  <si>
    <t>Last Name</t>
  </si>
  <si>
    <t>Ironman</t>
  </si>
  <si>
    <t>Superman</t>
  </si>
  <si>
    <t>Shaktimaan</t>
  </si>
  <si>
    <t>Krish</t>
  </si>
  <si>
    <t>Thor</t>
  </si>
  <si>
    <t>Sundarlal</t>
  </si>
  <si>
    <t>Shashikant</t>
  </si>
  <si>
    <t>Ironman Sundarlal Sharma</t>
  </si>
  <si>
    <t>Giridhari</t>
  </si>
  <si>
    <t>Sudhama</t>
  </si>
  <si>
    <t>Chunnilal</t>
  </si>
  <si>
    <t>Sharma</t>
  </si>
  <si>
    <t>Yadav</t>
  </si>
  <si>
    <t>Kale</t>
  </si>
  <si>
    <t>Kadam</t>
  </si>
  <si>
    <t>Gupta</t>
  </si>
  <si>
    <t>Start with Surname</t>
  </si>
  <si>
    <t>Sharma Ironmann Sundarlal</t>
  </si>
  <si>
    <t>Yadav Supermanan Giridhari</t>
  </si>
  <si>
    <t>Kale Shaktimaanmaan Shashikant</t>
  </si>
  <si>
    <t>Kadam KrishSudhama</t>
  </si>
  <si>
    <t>Gupta Thorhunnilal</t>
  </si>
  <si>
    <t>Start with Surname follow with initals</t>
  </si>
  <si>
    <t>Sharma I.S</t>
  </si>
  <si>
    <t>Yadav S.G</t>
  </si>
  <si>
    <t>Kale S.S</t>
  </si>
  <si>
    <t>Kadam K.S</t>
  </si>
  <si>
    <t>Gupta T.C</t>
  </si>
  <si>
    <t>Add Mr. before every Surname</t>
  </si>
  <si>
    <t>MR. Sharma</t>
  </si>
  <si>
    <t>MR. Yadav</t>
  </si>
  <si>
    <t>MR. Kale</t>
  </si>
  <si>
    <t>MR. Kadam</t>
  </si>
  <si>
    <t>MR. Gupta</t>
  </si>
  <si>
    <t>Age</t>
  </si>
  <si>
    <t>Creating Sentence</t>
  </si>
  <si>
    <t>Yadav ji age is 70</t>
  </si>
  <si>
    <t>Kale ji age is 42</t>
  </si>
  <si>
    <t>Kadam ji age is 53</t>
  </si>
  <si>
    <t>Gupta ji age is 60</t>
  </si>
  <si>
    <t>Sharma ji age is 54</t>
  </si>
  <si>
    <t>Gmail Id</t>
  </si>
  <si>
    <t>ironmansharma@gmail.com</t>
  </si>
  <si>
    <t>supermanyadav@gmail.com</t>
  </si>
  <si>
    <t>shaktimaankale@gmail.com</t>
  </si>
  <si>
    <t>krishkadam@gmail.com</t>
  </si>
  <si>
    <t>thorgupta@gmail.com</t>
  </si>
  <si>
    <t>Contact Number</t>
  </si>
  <si>
    <t>Con.No with +91</t>
  </si>
  <si>
    <t>+91 6208 576 586</t>
  </si>
  <si>
    <t>+91 9708 895 072</t>
  </si>
  <si>
    <t>+91 9572 117 379</t>
  </si>
  <si>
    <t>+91 9576 412 164</t>
  </si>
  <si>
    <t>+91 9572 117 380</t>
  </si>
  <si>
    <t>SALARY</t>
  </si>
  <si>
    <t>Sr.No</t>
  </si>
  <si>
    <t xml:space="preserve">Name of Client </t>
  </si>
  <si>
    <t>Mobile No.</t>
  </si>
  <si>
    <t>Aadhar No.</t>
  </si>
  <si>
    <t>Date of Birth</t>
  </si>
  <si>
    <t>Appointment Time</t>
  </si>
  <si>
    <t>City</t>
  </si>
  <si>
    <t xml:space="preserve">Alpha </t>
  </si>
  <si>
    <t>Beta</t>
  </si>
  <si>
    <t>7666 2457 2289</t>
  </si>
  <si>
    <t>Land Line No</t>
  </si>
  <si>
    <t>Decimal</t>
  </si>
  <si>
    <t>Rating Points</t>
  </si>
  <si>
    <t>Darbhanga</t>
  </si>
  <si>
    <t>Muzffarpur</t>
  </si>
  <si>
    <t>Shamastipur</t>
  </si>
  <si>
    <t>Madhubani</t>
  </si>
  <si>
    <t>Jainagar</t>
  </si>
  <si>
    <t>Buxar</t>
  </si>
  <si>
    <t>Chapra</t>
  </si>
  <si>
    <t>gaya</t>
  </si>
  <si>
    <t>S.No</t>
  </si>
  <si>
    <t>Products</t>
  </si>
  <si>
    <t>prices</t>
  </si>
  <si>
    <t>Wrist Watch</t>
  </si>
  <si>
    <t>Photo Frame</t>
  </si>
  <si>
    <t>Teddy Bear</t>
  </si>
  <si>
    <t>Sun Glasses</t>
  </si>
  <si>
    <t>Cap</t>
  </si>
  <si>
    <t>$G$1</t>
  </si>
  <si>
    <t>Regular Prices</t>
  </si>
  <si>
    <t>Created by Sudhanshu Kumar on 26-08-2025</t>
  </si>
  <si>
    <t>Durga Puja</t>
  </si>
  <si>
    <t>Diwali</t>
  </si>
  <si>
    <t>Winter Vaction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</si>
  <si>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</si>
  <si>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</si>
  <si>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</si>
  <si>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</si>
  <si>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</si>
  <si>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</si>
  <si>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</si>
  <si>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 xml:space="preserve">INTEREST RATE </t>
  </si>
  <si>
    <t xml:space="preserve">LOAN </t>
  </si>
  <si>
    <t>PERIOD</t>
  </si>
  <si>
    <t>EMI / PMT</t>
  </si>
  <si>
    <t>PER ANNUM</t>
  </si>
  <si>
    <t xml:space="preserve">RUPEES </t>
  </si>
  <si>
    <t>MONTHS</t>
  </si>
  <si>
    <t>1 Years</t>
  </si>
  <si>
    <t>2 Years</t>
  </si>
  <si>
    <t>3 Years</t>
  </si>
  <si>
    <t>4 Years</t>
  </si>
  <si>
    <t>5 Years</t>
  </si>
  <si>
    <t>6 Years</t>
  </si>
  <si>
    <t>7 Years</t>
  </si>
  <si>
    <t>8 Years</t>
  </si>
  <si>
    <t>9 Years</t>
  </si>
  <si>
    <t>10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</si>
</sst>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₹&quot;\ #,##0.00;[Red]&quot;₹&quot;\ \-#,##0.00"/>
    <numFmt numFmtId="166" formatCode="0.000"/>
  </numFmts>
  <fonts count="10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/>
    <xf numFmtId="0" fontId="2" fillId="0" borderId="0" xfId="1"/>
    <xf numFmtId="0" fontId="0" fillId="2" borderId="1" xfId="0" applyFill="1" applyBorder="1"/>
    <xf numFmtId="0" fontId="0" fillId="3" borderId="1" xfId="0" applyFill="1" applyBorder="1"/>
    <xf numFmtId="0" fontId="0" fillId="2" borderId="3" xfId="0" applyFill="1" applyBorder="1"/>
    <xf numFmtId="0" fontId="2" fillId="0" borderId="2" xfId="1" applyFill="1" applyBorder="1"/>
    <xf numFmtId="0" fontId="2" fillId="0" borderId="0" xfId="1" applyFill="1" applyBorder="1"/>
    <xf numFmtId="49" fontId="0" fillId="0" borderId="0" xfId="0" applyNumberFormat="1"/>
    <xf numFmtId="0" fontId="0" fillId="0" borderId="1" xfId="0" applyBorder="1" applyAlignment="1">
      <alignment horizontal="left"/>
    </xf>
    <xf numFmtId="49" fontId="0" fillId="0" borderId="1" xfId="0" applyNumberFormat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14" fontId="0" fillId="0" borderId="0" xfId="0" applyNumberFormat="1"/>
    <xf numFmtId="18" fontId="0" fillId="0" borderId="0" xfId="0" applyNumberFormat="1"/>
    <xf numFmtId="0" fontId="3" fillId="0" borderId="1" xfId="0" applyFont="1" applyBorder="1"/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5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top" wrapText="1"/>
    </xf>
    <xf numFmtId="0" fontId="0" fillId="6" borderId="0" xfId="0" applyFill="1" applyBorder="1" applyAlignment="1">
      <alignment horizontal="center"/>
    </xf>
    <xf numFmtId="8" fontId="0" fillId="2" borderId="1" xfId="0" applyNumberFormat="1" applyFill="1" applyBorder="1"/>
    <xf numFmtId="0" fontId="0" fillId="7" borderId="1" xfId="0" applyFill="1" applyBorder="1"/>
    <xf numFmtId="0" fontId="0" fillId="8" borderId="1" xfId="0" applyFill="1" applyBorder="1"/>
    <xf numFmtId="0" fontId="0" fillId="8" borderId="1" xfId="0" applyFill="1" applyBorder="1" applyAlignment="1">
      <alignment textRotation="26"/>
    </xf>
    <xf numFmtId="0" fontId="0" fillId="8" borderId="0" xfId="0" applyFill="1"/>
    <xf numFmtId="166" fontId="0" fillId="9" borderId="1" xfId="0" applyNumberFormat="1" applyFill="1" applyBorder="1"/>
    <xf numFmtId="0" fontId="0" fillId="7" borderId="0" xfId="0" applyFill="1"/>
    <xf numFmtId="9" fontId="0" fillId="7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onu2345@gmail.com" TargetMode="External"/><Relationship Id="rId2" Type="http://schemas.openxmlformats.org/officeDocument/2006/relationships/hyperlink" Target="mailto:sudh1234@gmail.com" TargetMode="External"/><Relationship Id="rId1" Type="http://schemas.openxmlformats.org/officeDocument/2006/relationships/hyperlink" Target="mailto:sonu4114thakur@gmail.com" TargetMode="External"/><Relationship Id="rId5" Type="http://schemas.openxmlformats.org/officeDocument/2006/relationships/hyperlink" Target="mailto:sudh686734@gmail.com" TargetMode="External"/><Relationship Id="rId4" Type="http://schemas.openxmlformats.org/officeDocument/2006/relationships/hyperlink" Target="mailto:sudh23944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shaktimaankale@gmail.com" TargetMode="External"/><Relationship Id="rId2" Type="http://schemas.openxmlformats.org/officeDocument/2006/relationships/hyperlink" Target="mailto:supermanyadav@gmail.com" TargetMode="External"/><Relationship Id="rId1" Type="http://schemas.openxmlformats.org/officeDocument/2006/relationships/hyperlink" Target="mailto:ironmansharma@gmail.com" TargetMode="External"/><Relationship Id="rId5" Type="http://schemas.openxmlformats.org/officeDocument/2006/relationships/hyperlink" Target="mailto:thorgupta@gmail.com" TargetMode="External"/><Relationship Id="rId4" Type="http://schemas.openxmlformats.org/officeDocument/2006/relationships/hyperlink" Target="mailto:krishkada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9EAB-32D8-488F-AA1F-3B5C00500327}">
  <sheetPr codeName="Sheet2"/>
  <dimension ref="A1:P13"/>
  <sheetViews>
    <sheetView zoomScale="130" zoomScaleNormal="130" workbookViewId="0">
      <selection activeCell="D1" sqref="D1:D13"/>
    </sheetView>
  </sheetViews>
  <sheetFormatPr defaultRowHeight="14.4" x14ac:dyDescent="0.3"/>
  <cols>
    <col min="1" max="1" width="10.33203125" bestFit="1" customWidth="1"/>
    <col min="2" max="2" width="14.5546875" bestFit="1" customWidth="1"/>
    <col min="3" max="3" width="9.44140625" bestFit="1" customWidth="1"/>
    <col min="4" max="4" width="12.33203125" bestFit="1" customWidth="1"/>
    <col min="5" max="5" width="7" bestFit="1" customWidth="1"/>
    <col min="10" max="10" width="9.33203125" customWidth="1"/>
    <col min="12" max="12" width="10.33203125" bestFit="1" customWidth="1"/>
    <col min="13" max="13" width="15.109375" bestFit="1" customWidth="1"/>
    <col min="14" max="14" width="9.6640625" bestFit="1" customWidth="1"/>
    <col min="15" max="15" width="12.44140625" bestFit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J1" s="1" t="s">
        <v>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4</v>
      </c>
    </row>
    <row r="2" spans="1:16" x14ac:dyDescent="0.3">
      <c r="A2" s="2">
        <v>45849</v>
      </c>
      <c r="B2" s="1" t="s">
        <v>5</v>
      </c>
      <c r="C2" s="1" t="s">
        <v>17</v>
      </c>
      <c r="D2" s="1">
        <v>18000</v>
      </c>
      <c r="E2" s="1" t="s">
        <v>21</v>
      </c>
      <c r="J2" s="1" t="s">
        <v>19</v>
      </c>
      <c r="L2" s="2">
        <v>45848</v>
      </c>
      <c r="M2" s="1" t="s">
        <v>11</v>
      </c>
      <c r="N2" s="1" t="s">
        <v>19</v>
      </c>
      <c r="O2" s="1">
        <v>35000</v>
      </c>
      <c r="P2" s="1" t="s">
        <v>22</v>
      </c>
    </row>
    <row r="3" spans="1:16" x14ac:dyDescent="0.3">
      <c r="A3" s="2">
        <v>45845</v>
      </c>
      <c r="B3" s="1" t="s">
        <v>6</v>
      </c>
      <c r="C3" s="1" t="s">
        <v>17</v>
      </c>
      <c r="D3" s="1">
        <v>15000</v>
      </c>
      <c r="E3" s="1" t="s">
        <v>21</v>
      </c>
      <c r="L3" s="2">
        <v>45844</v>
      </c>
      <c r="M3" s="1" t="s">
        <v>12</v>
      </c>
      <c r="N3" s="1" t="s">
        <v>19</v>
      </c>
      <c r="O3" s="1">
        <v>22000</v>
      </c>
      <c r="P3" s="1" t="s">
        <v>22</v>
      </c>
    </row>
    <row r="4" spans="1:16" x14ac:dyDescent="0.3">
      <c r="A4" s="2">
        <v>45841</v>
      </c>
      <c r="B4" s="1" t="s">
        <v>7</v>
      </c>
      <c r="C4" s="1" t="s">
        <v>17</v>
      </c>
      <c r="D4" s="1">
        <v>18000</v>
      </c>
      <c r="E4" s="1" t="s">
        <v>21</v>
      </c>
      <c r="L4" s="2">
        <v>45840</v>
      </c>
      <c r="M4" s="1" t="s">
        <v>13</v>
      </c>
      <c r="N4" s="1" t="s">
        <v>19</v>
      </c>
      <c r="O4" s="1">
        <v>16000</v>
      </c>
      <c r="P4" s="1" t="s">
        <v>21</v>
      </c>
    </row>
    <row r="5" spans="1:16" x14ac:dyDescent="0.3">
      <c r="A5" s="2">
        <v>45839</v>
      </c>
      <c r="B5" s="1" t="s">
        <v>8</v>
      </c>
      <c r="C5" s="1" t="s">
        <v>18</v>
      </c>
      <c r="D5" s="1">
        <v>15000</v>
      </c>
      <c r="E5" s="1" t="s">
        <v>22</v>
      </c>
    </row>
    <row r="6" spans="1:16" x14ac:dyDescent="0.3">
      <c r="A6" s="2">
        <v>45843</v>
      </c>
      <c r="B6" s="1" t="s">
        <v>9</v>
      </c>
      <c r="C6" s="1" t="s">
        <v>18</v>
      </c>
      <c r="D6" s="1">
        <v>25000</v>
      </c>
      <c r="E6" s="1" t="s">
        <v>22</v>
      </c>
    </row>
    <row r="7" spans="1:16" x14ac:dyDescent="0.3">
      <c r="A7" s="2">
        <v>45847</v>
      </c>
      <c r="B7" s="1" t="s">
        <v>10</v>
      </c>
      <c r="C7" s="1" t="s">
        <v>18</v>
      </c>
      <c r="D7" s="1">
        <v>15000</v>
      </c>
      <c r="E7" s="1" t="s">
        <v>21</v>
      </c>
    </row>
    <row r="8" spans="1:16" x14ac:dyDescent="0.3">
      <c r="A8" s="2">
        <v>45848</v>
      </c>
      <c r="B8" s="1" t="s">
        <v>11</v>
      </c>
      <c r="C8" s="1" t="s">
        <v>19</v>
      </c>
      <c r="D8" s="1">
        <v>35000</v>
      </c>
      <c r="E8" s="1" t="s">
        <v>22</v>
      </c>
    </row>
    <row r="9" spans="1:16" x14ac:dyDescent="0.3">
      <c r="A9" s="2">
        <v>45844</v>
      </c>
      <c r="B9" s="1" t="s">
        <v>12</v>
      </c>
      <c r="C9" s="1" t="s">
        <v>19</v>
      </c>
      <c r="D9" s="1">
        <v>22000</v>
      </c>
      <c r="E9" s="1" t="s">
        <v>22</v>
      </c>
    </row>
    <row r="10" spans="1:16" x14ac:dyDescent="0.3">
      <c r="A10" s="2">
        <v>45840</v>
      </c>
      <c r="B10" s="1" t="s">
        <v>13</v>
      </c>
      <c r="C10" s="1" t="s">
        <v>19</v>
      </c>
      <c r="D10" s="1">
        <v>16000</v>
      </c>
      <c r="E10" s="1" t="s">
        <v>21</v>
      </c>
    </row>
    <row r="11" spans="1:16" x14ac:dyDescent="0.3">
      <c r="A11" s="2">
        <v>45842</v>
      </c>
      <c r="B11" s="1" t="s">
        <v>14</v>
      </c>
      <c r="C11" s="1" t="s">
        <v>20</v>
      </c>
      <c r="D11" s="1">
        <v>19000</v>
      </c>
      <c r="E11" s="1" t="s">
        <v>21</v>
      </c>
    </row>
    <row r="12" spans="1:16" x14ac:dyDescent="0.3">
      <c r="A12" s="2">
        <v>45846</v>
      </c>
      <c r="B12" s="1" t="s">
        <v>15</v>
      </c>
      <c r="C12" s="1" t="s">
        <v>20</v>
      </c>
      <c r="D12" s="1">
        <v>35000</v>
      </c>
      <c r="E12" s="1" t="s">
        <v>22</v>
      </c>
    </row>
    <row r="13" spans="1:16" x14ac:dyDescent="0.3">
      <c r="A13" s="2">
        <v>45850</v>
      </c>
      <c r="B13" s="1" t="s">
        <v>16</v>
      </c>
      <c r="C13" s="1" t="s">
        <v>20</v>
      </c>
      <c r="D13" s="1">
        <v>21000</v>
      </c>
      <c r="E13" s="1" t="s">
        <v>22</v>
      </c>
    </row>
  </sheetData>
  <dataValidations count="1">
    <dataValidation type="list" allowBlank="1" showInputMessage="1" showErrorMessage="1" sqref="J2" xr:uid="{7AE5F9B1-8D1B-4CEF-92A1-F300BC2BAE36}">
      <formula1>"Manager,Clerk,Supervisor,Worker"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73F3-66C5-4D4F-8814-DFA3A40594E4}">
  <sheetPr codeName="Sheet3"/>
  <dimension ref="A1:B6"/>
  <sheetViews>
    <sheetView zoomScale="145" zoomScaleNormal="145" workbookViewId="0">
      <selection activeCell="B1" sqref="B1"/>
    </sheetView>
  </sheetViews>
  <sheetFormatPr defaultRowHeight="14.4" x14ac:dyDescent="0.3"/>
  <cols>
    <col min="1" max="1" width="25.88671875" bestFit="1" customWidth="1"/>
    <col min="2" max="2" width="17.44140625" bestFit="1" customWidth="1"/>
  </cols>
  <sheetData>
    <row r="1" spans="1:2" ht="21" x14ac:dyDescent="0.4">
      <c r="A1" s="3" t="s">
        <v>23</v>
      </c>
      <c r="B1" s="3" t="s">
        <v>24</v>
      </c>
    </row>
    <row r="2" spans="1:2" x14ac:dyDescent="0.3">
      <c r="A2" s="1" t="s">
        <v>28</v>
      </c>
      <c r="B2" s="1">
        <v>205</v>
      </c>
    </row>
    <row r="3" spans="1:2" x14ac:dyDescent="0.3">
      <c r="A3" s="1" t="s">
        <v>25</v>
      </c>
      <c r="B3" s="1">
        <v>200</v>
      </c>
    </row>
    <row r="4" spans="1:2" x14ac:dyDescent="0.3">
      <c r="A4" s="1" t="s">
        <v>26</v>
      </c>
      <c r="B4" s="1">
        <v>200</v>
      </c>
    </row>
    <row r="5" spans="1:2" x14ac:dyDescent="0.3">
      <c r="A5" s="1" t="s">
        <v>29</v>
      </c>
      <c r="B5" s="1">
        <v>105</v>
      </c>
    </row>
    <row r="6" spans="1:2" x14ac:dyDescent="0.3">
      <c r="A6" s="1" t="s">
        <v>27</v>
      </c>
      <c r="B6" s="1">
        <v>100</v>
      </c>
    </row>
  </sheetData>
  <sortState xmlns:xlrd2="http://schemas.microsoft.com/office/spreadsheetml/2017/richdata2" ref="A2:B6">
    <sortCondition descending="1" ref="B1:B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AB4AC-8056-41AB-A3BF-6246814FCDC4}">
  <sheetPr codeName="Sheet4"/>
  <dimension ref="A1:J14"/>
  <sheetViews>
    <sheetView zoomScale="175" zoomScaleNormal="175" workbookViewId="0">
      <selection sqref="A1:C10"/>
    </sheetView>
  </sheetViews>
  <sheetFormatPr defaultRowHeight="14.4" x14ac:dyDescent="0.3"/>
  <cols>
    <col min="1" max="1" width="11.33203125" bestFit="1" customWidth="1"/>
    <col min="3" max="3" width="10.77734375" bestFit="1" customWidth="1"/>
    <col min="6" max="6" width="14.44140625" bestFit="1" customWidth="1"/>
    <col min="9" max="9" width="24.88671875" bestFit="1" customWidth="1"/>
  </cols>
  <sheetData>
    <row r="1" spans="1:10" x14ac:dyDescent="0.3">
      <c r="A1" t="s">
        <v>30</v>
      </c>
      <c r="B1" t="s">
        <v>31</v>
      </c>
      <c r="C1" t="s">
        <v>32</v>
      </c>
      <c r="F1" t="s">
        <v>33</v>
      </c>
      <c r="I1" t="s">
        <v>34</v>
      </c>
    </row>
    <row r="2" spans="1:10" x14ac:dyDescent="0.3">
      <c r="A2" t="s">
        <v>35</v>
      </c>
      <c r="B2" t="s">
        <v>36</v>
      </c>
      <c r="C2" t="s">
        <v>37</v>
      </c>
      <c r="F2" t="s">
        <v>38</v>
      </c>
      <c r="G2">
        <v>40079</v>
      </c>
      <c r="I2" s="4" t="s">
        <v>74</v>
      </c>
      <c r="J2" t="s">
        <v>39</v>
      </c>
    </row>
    <row r="3" spans="1:10" x14ac:dyDescent="0.3">
      <c r="A3" t="s">
        <v>40</v>
      </c>
      <c r="B3" t="s">
        <v>41</v>
      </c>
      <c r="C3" t="s">
        <v>42</v>
      </c>
      <c r="F3" t="s">
        <v>43</v>
      </c>
      <c r="G3">
        <v>413209</v>
      </c>
      <c r="I3" s="4" t="s">
        <v>77</v>
      </c>
      <c r="J3" t="s">
        <v>39</v>
      </c>
    </row>
    <row r="4" spans="1:10" x14ac:dyDescent="0.3">
      <c r="A4" t="s">
        <v>44</v>
      </c>
      <c r="B4" t="s">
        <v>45</v>
      </c>
      <c r="C4" t="s">
        <v>46</v>
      </c>
      <c r="F4" t="s">
        <v>38</v>
      </c>
      <c r="G4">
        <v>400080</v>
      </c>
      <c r="I4" s="4" t="s">
        <v>78</v>
      </c>
      <c r="J4" t="s">
        <v>39</v>
      </c>
    </row>
    <row r="5" spans="1:10" x14ac:dyDescent="0.3">
      <c r="A5" t="s">
        <v>47</v>
      </c>
      <c r="B5" t="s">
        <v>48</v>
      </c>
      <c r="C5" t="s">
        <v>49</v>
      </c>
      <c r="F5" t="s">
        <v>43</v>
      </c>
      <c r="G5">
        <v>41232</v>
      </c>
      <c r="I5" s="4" t="s">
        <v>79</v>
      </c>
      <c r="J5" t="s">
        <v>39</v>
      </c>
    </row>
    <row r="6" spans="1:10" x14ac:dyDescent="0.3">
      <c r="A6" t="s">
        <v>50</v>
      </c>
      <c r="B6" t="s">
        <v>51</v>
      </c>
      <c r="C6" t="s">
        <v>52</v>
      </c>
      <c r="F6" t="s">
        <v>38</v>
      </c>
      <c r="G6">
        <v>400812</v>
      </c>
      <c r="I6" s="4" t="s">
        <v>80</v>
      </c>
      <c r="J6" t="s">
        <v>39</v>
      </c>
    </row>
    <row r="7" spans="1:10" x14ac:dyDescent="0.3">
      <c r="A7" t="s">
        <v>54</v>
      </c>
      <c r="B7" t="s">
        <v>53</v>
      </c>
      <c r="C7" t="s">
        <v>55</v>
      </c>
      <c r="F7" t="s">
        <v>43</v>
      </c>
      <c r="G7">
        <v>41325</v>
      </c>
    </row>
    <row r="8" spans="1:10" x14ac:dyDescent="0.3">
      <c r="A8" t="s">
        <v>56</v>
      </c>
      <c r="B8" t="s">
        <v>75</v>
      </c>
      <c r="C8" t="s">
        <v>46</v>
      </c>
      <c r="F8" t="s">
        <v>38</v>
      </c>
      <c r="G8">
        <v>400023</v>
      </c>
    </row>
    <row r="9" spans="1:10" x14ac:dyDescent="0.3">
      <c r="A9" t="s">
        <v>57</v>
      </c>
      <c r="B9" t="s">
        <v>58</v>
      </c>
      <c r="C9" t="s">
        <v>59</v>
      </c>
      <c r="D9" t="s">
        <v>60</v>
      </c>
      <c r="F9" t="s">
        <v>43</v>
      </c>
      <c r="G9">
        <v>41326</v>
      </c>
    </row>
    <row r="10" spans="1:10" x14ac:dyDescent="0.3">
      <c r="A10" t="s">
        <v>61</v>
      </c>
      <c r="B10" t="s">
        <v>62</v>
      </c>
      <c r="C10" t="s">
        <v>63</v>
      </c>
      <c r="F10" t="s">
        <v>38</v>
      </c>
      <c r="G10">
        <v>400321</v>
      </c>
    </row>
    <row r="11" spans="1:10" x14ac:dyDescent="0.3">
      <c r="A11" t="s">
        <v>64</v>
      </c>
      <c r="B11" t="s">
        <v>65</v>
      </c>
      <c r="C11" t="s">
        <v>52</v>
      </c>
      <c r="F11" t="s">
        <v>43</v>
      </c>
      <c r="G11">
        <v>41238</v>
      </c>
    </row>
    <row r="12" spans="1:10" x14ac:dyDescent="0.3">
      <c r="A12" t="s">
        <v>66</v>
      </c>
      <c r="B12" t="s">
        <v>67</v>
      </c>
      <c r="C12" t="s">
        <v>68</v>
      </c>
      <c r="F12" t="s">
        <v>38</v>
      </c>
      <c r="G12">
        <v>400080</v>
      </c>
    </row>
    <row r="13" spans="1:10" x14ac:dyDescent="0.3">
      <c r="A13" t="s">
        <v>69</v>
      </c>
      <c r="B13" t="s">
        <v>70</v>
      </c>
      <c r="C13" t="s">
        <v>71</v>
      </c>
      <c r="F13" t="s">
        <v>43</v>
      </c>
      <c r="G13">
        <v>413253</v>
      </c>
    </row>
    <row r="14" spans="1:10" x14ac:dyDescent="0.3">
      <c r="A14" t="s">
        <v>72</v>
      </c>
      <c r="B14" t="s">
        <v>73</v>
      </c>
      <c r="C14" t="s">
        <v>76</v>
      </c>
    </row>
  </sheetData>
  <hyperlinks>
    <hyperlink ref="I4" r:id="rId1" display="sonu4114thakur@gmail.com" xr:uid="{7000698B-C10C-44F2-9BEB-D0B64FB6BF0F}"/>
    <hyperlink ref="I2" r:id="rId2" display="sudh1234@gmail.com" xr:uid="{3E192683-AE58-43D5-83F9-788C3EEF9195}"/>
    <hyperlink ref="I3" r:id="rId3" display="sonu2345@gmail.com" xr:uid="{2A05DF24-CE7A-4222-B618-4E07A808BCBC}"/>
    <hyperlink ref="I5" r:id="rId4" display="sudh23944@gmail.com" xr:uid="{70AFBE3D-9857-4C9A-8CFD-C54174E05D30}"/>
    <hyperlink ref="I6" r:id="rId5" display="sudh686734@gmail.com" xr:uid="{A583C5C9-0267-41FD-B543-654E88FCB72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C15B-7517-4BCA-96BA-256B652054A6}">
  <sheetPr codeName="Sheet5"/>
  <dimension ref="A1:J32"/>
  <sheetViews>
    <sheetView topLeftCell="D9" zoomScale="130" zoomScaleNormal="130" workbookViewId="0">
      <selection activeCell="I25" sqref="I25"/>
    </sheetView>
  </sheetViews>
  <sheetFormatPr defaultRowHeight="14.4" x14ac:dyDescent="0.3"/>
  <cols>
    <col min="1" max="1" width="24.77734375" bestFit="1" customWidth="1"/>
    <col min="2" max="2" width="29.5546875" bestFit="1" customWidth="1"/>
    <col min="3" max="3" width="16.21875" bestFit="1" customWidth="1"/>
    <col min="4" max="4" width="12.6640625" bestFit="1" customWidth="1"/>
    <col min="6" max="6" width="24.77734375" bestFit="1" customWidth="1"/>
    <col min="7" max="7" width="32.88671875" bestFit="1" customWidth="1"/>
    <col min="8" max="8" width="9.6640625" bestFit="1" customWidth="1"/>
    <col min="9" max="9" width="24.77734375" bestFit="1" customWidth="1"/>
    <col min="10" max="10" width="25.109375" bestFit="1" customWidth="1"/>
  </cols>
  <sheetData>
    <row r="1" spans="1:10" x14ac:dyDescent="0.3">
      <c r="A1" s="5" t="s">
        <v>81</v>
      </c>
      <c r="B1" s="5" t="s">
        <v>82</v>
      </c>
      <c r="C1" s="5" t="s">
        <v>83</v>
      </c>
      <c r="D1" s="5" t="s">
        <v>84</v>
      </c>
      <c r="F1" s="5" t="s">
        <v>108</v>
      </c>
      <c r="G1" s="5" t="s">
        <v>109</v>
      </c>
      <c r="H1" s="5" t="s">
        <v>110</v>
      </c>
      <c r="I1" s="5" t="s">
        <v>103</v>
      </c>
    </row>
    <row r="2" spans="1:10" x14ac:dyDescent="0.3">
      <c r="A2" s="1" t="s">
        <v>85</v>
      </c>
      <c r="B2" s="1" t="s">
        <v>91</v>
      </c>
      <c r="C2" s="1" t="s">
        <v>97</v>
      </c>
      <c r="D2" s="1" t="s">
        <v>85</v>
      </c>
      <c r="F2" s="1" t="s">
        <v>111</v>
      </c>
      <c r="G2" s="1" t="s">
        <v>116</v>
      </c>
      <c r="H2" s="1" t="s">
        <v>122</v>
      </c>
      <c r="I2" s="1" t="s">
        <v>118</v>
      </c>
    </row>
    <row r="3" spans="1:10" x14ac:dyDescent="0.3">
      <c r="A3" s="1" t="s">
        <v>86</v>
      </c>
      <c r="B3" s="1" t="s">
        <v>92</v>
      </c>
      <c r="C3" s="1" t="s">
        <v>98</v>
      </c>
      <c r="D3" s="1" t="s">
        <v>86</v>
      </c>
      <c r="F3" s="1" t="s">
        <v>112</v>
      </c>
      <c r="G3" s="1" t="s">
        <v>119</v>
      </c>
      <c r="H3" s="1" t="s">
        <v>123</v>
      </c>
      <c r="I3" s="1" t="s">
        <v>104</v>
      </c>
    </row>
    <row r="4" spans="1:10" x14ac:dyDescent="0.3">
      <c r="A4" s="1" t="s">
        <v>87</v>
      </c>
      <c r="B4" s="1" t="s">
        <v>93</v>
      </c>
      <c r="C4" s="1" t="s">
        <v>99</v>
      </c>
      <c r="D4" s="1" t="s">
        <v>87</v>
      </c>
      <c r="F4" s="1" t="s">
        <v>113</v>
      </c>
      <c r="G4" s="1" t="s">
        <v>117</v>
      </c>
      <c r="H4" s="1" t="s">
        <v>124</v>
      </c>
      <c r="I4" s="1" t="s">
        <v>105</v>
      </c>
    </row>
    <row r="5" spans="1:10" x14ac:dyDescent="0.3">
      <c r="A5" s="1" t="s">
        <v>88</v>
      </c>
      <c r="B5" s="1" t="s">
        <v>94</v>
      </c>
      <c r="C5" s="1" t="s">
        <v>100</v>
      </c>
      <c r="D5" s="1" t="s">
        <v>88</v>
      </c>
      <c r="F5" s="1" t="s">
        <v>114</v>
      </c>
      <c r="G5" s="1" t="s">
        <v>120</v>
      </c>
      <c r="H5" s="1" t="s">
        <v>125</v>
      </c>
      <c r="I5" s="1" t="s">
        <v>106</v>
      </c>
    </row>
    <row r="6" spans="1:10" x14ac:dyDescent="0.3">
      <c r="A6" s="1" t="s">
        <v>89</v>
      </c>
      <c r="B6" s="1" t="s">
        <v>95</v>
      </c>
      <c r="C6" s="1" t="s">
        <v>101</v>
      </c>
      <c r="D6" s="1" t="s">
        <v>89</v>
      </c>
      <c r="F6" s="1" t="s">
        <v>115</v>
      </c>
      <c r="G6" s="1" t="s">
        <v>121</v>
      </c>
      <c r="H6" s="1" t="s">
        <v>126</v>
      </c>
      <c r="I6" s="1" t="s">
        <v>107</v>
      </c>
    </row>
    <row r="7" spans="1:10" x14ac:dyDescent="0.3">
      <c r="A7" s="1" t="s">
        <v>90</v>
      </c>
      <c r="B7" s="1" t="s">
        <v>96</v>
      </c>
      <c r="C7" s="1" t="s">
        <v>102</v>
      </c>
      <c r="D7" s="1" t="s">
        <v>90</v>
      </c>
    </row>
    <row r="9" spans="1:10" x14ac:dyDescent="0.3">
      <c r="F9" s="5" t="s">
        <v>103</v>
      </c>
      <c r="G9" s="5" t="s">
        <v>139</v>
      </c>
      <c r="I9" s="5" t="s">
        <v>103</v>
      </c>
      <c r="J9" s="7" t="s">
        <v>152</v>
      </c>
    </row>
    <row r="10" spans="1:10" x14ac:dyDescent="0.3">
      <c r="A10" s="5" t="s">
        <v>103</v>
      </c>
      <c r="B10" s="5" t="s">
        <v>108</v>
      </c>
      <c r="C10" s="5" t="s">
        <v>109</v>
      </c>
      <c r="D10" s="5" t="s">
        <v>110</v>
      </c>
      <c r="F10" s="1" t="s">
        <v>118</v>
      </c>
      <c r="G10" s="6" t="s">
        <v>140</v>
      </c>
      <c r="I10" s="1" t="s">
        <v>118</v>
      </c>
      <c r="J10" s="8" t="s">
        <v>153</v>
      </c>
    </row>
    <row r="11" spans="1:10" x14ac:dyDescent="0.3">
      <c r="A11" s="1" t="s">
        <v>118</v>
      </c>
      <c r="B11" s="1" t="s">
        <v>111</v>
      </c>
      <c r="C11" s="1" t="s">
        <v>116</v>
      </c>
      <c r="D11" s="1" t="s">
        <v>122</v>
      </c>
      <c r="F11" s="1" t="s">
        <v>104</v>
      </c>
      <c r="G11" s="1" t="s">
        <v>141</v>
      </c>
      <c r="I11" s="1" t="s">
        <v>104</v>
      </c>
      <c r="J11" s="9" t="s">
        <v>154</v>
      </c>
    </row>
    <row r="12" spans="1:10" x14ac:dyDescent="0.3">
      <c r="A12" s="1" t="s">
        <v>104</v>
      </c>
      <c r="B12" s="1" t="s">
        <v>112</v>
      </c>
      <c r="C12" s="1" t="s">
        <v>119</v>
      </c>
      <c r="D12" s="1" t="s">
        <v>123</v>
      </c>
      <c r="F12" s="1" t="s">
        <v>105</v>
      </c>
      <c r="G12" s="1" t="s">
        <v>142</v>
      </c>
      <c r="I12" s="1" t="s">
        <v>105</v>
      </c>
      <c r="J12" s="9" t="s">
        <v>155</v>
      </c>
    </row>
    <row r="13" spans="1:10" x14ac:dyDescent="0.3">
      <c r="A13" s="1" t="s">
        <v>105</v>
      </c>
      <c r="B13" s="1" t="s">
        <v>113</v>
      </c>
      <c r="C13" s="1" t="s">
        <v>117</v>
      </c>
      <c r="D13" s="1" t="s">
        <v>124</v>
      </c>
      <c r="F13" s="1" t="s">
        <v>106</v>
      </c>
      <c r="G13" s="1" t="s">
        <v>143</v>
      </c>
      <c r="I13" s="1" t="s">
        <v>106</v>
      </c>
      <c r="J13" s="9" t="s">
        <v>156</v>
      </c>
    </row>
    <row r="14" spans="1:10" x14ac:dyDescent="0.3">
      <c r="A14" s="1" t="s">
        <v>106</v>
      </c>
      <c r="B14" s="1" t="s">
        <v>114</v>
      </c>
      <c r="C14" s="1" t="s">
        <v>120</v>
      </c>
      <c r="D14" s="1" t="s">
        <v>125</v>
      </c>
      <c r="F14" s="1" t="s">
        <v>107</v>
      </c>
      <c r="G14" s="1" t="s">
        <v>144</v>
      </c>
      <c r="I14" s="1" t="s">
        <v>107</v>
      </c>
      <c r="J14" s="9" t="s">
        <v>157</v>
      </c>
    </row>
    <row r="15" spans="1:10" x14ac:dyDescent="0.3">
      <c r="A15" s="1" t="s">
        <v>107</v>
      </c>
      <c r="B15" s="1" t="s">
        <v>115</v>
      </c>
      <c r="C15" s="1" t="s">
        <v>121</v>
      </c>
      <c r="D15" s="1" t="s">
        <v>126</v>
      </c>
    </row>
    <row r="16" spans="1:10" x14ac:dyDescent="0.3">
      <c r="J16" s="10"/>
    </row>
    <row r="19" spans="1:10" x14ac:dyDescent="0.3">
      <c r="A19" s="5" t="s">
        <v>103</v>
      </c>
      <c r="B19" s="5" t="s">
        <v>127</v>
      </c>
      <c r="F19" s="5" t="s">
        <v>103</v>
      </c>
      <c r="G19" s="5" t="s">
        <v>133</v>
      </c>
      <c r="I19" s="5" t="s">
        <v>158</v>
      </c>
      <c r="J19" s="5" t="s">
        <v>159</v>
      </c>
    </row>
    <row r="20" spans="1:10" x14ac:dyDescent="0.3">
      <c r="A20" s="1" t="s">
        <v>118</v>
      </c>
      <c r="B20" s="1" t="s">
        <v>128</v>
      </c>
      <c r="F20" s="1" t="s">
        <v>118</v>
      </c>
      <c r="G20" s="1" t="s">
        <v>134</v>
      </c>
      <c r="I20" s="11">
        <v>6208576586</v>
      </c>
      <c r="J20" s="12" t="s">
        <v>160</v>
      </c>
    </row>
    <row r="21" spans="1:10" x14ac:dyDescent="0.3">
      <c r="A21" s="1" t="s">
        <v>104</v>
      </c>
      <c r="B21" s="1" t="s">
        <v>129</v>
      </c>
      <c r="F21" s="1" t="s">
        <v>104</v>
      </c>
      <c r="G21" s="1" t="s">
        <v>135</v>
      </c>
      <c r="I21" s="11">
        <v>9708895072</v>
      </c>
      <c r="J21" s="12" t="s">
        <v>161</v>
      </c>
    </row>
    <row r="22" spans="1:10" x14ac:dyDescent="0.3">
      <c r="A22" s="1" t="s">
        <v>105</v>
      </c>
      <c r="B22" s="1" t="s">
        <v>130</v>
      </c>
      <c r="F22" s="1" t="s">
        <v>105</v>
      </c>
      <c r="G22" s="1" t="s">
        <v>136</v>
      </c>
      <c r="I22" s="11">
        <v>9572117379</v>
      </c>
      <c r="J22" s="12" t="s">
        <v>162</v>
      </c>
    </row>
    <row r="23" spans="1:10" x14ac:dyDescent="0.3">
      <c r="A23" s="1" t="s">
        <v>106</v>
      </c>
      <c r="B23" s="1" t="s">
        <v>131</v>
      </c>
      <c r="F23" s="1" t="s">
        <v>106</v>
      </c>
      <c r="G23" s="1" t="s">
        <v>137</v>
      </c>
      <c r="I23" s="11">
        <v>9576412164</v>
      </c>
      <c r="J23" s="12" t="s">
        <v>163</v>
      </c>
    </row>
    <row r="24" spans="1:10" x14ac:dyDescent="0.3">
      <c r="A24" s="1" t="s">
        <v>107</v>
      </c>
      <c r="B24" s="1" t="s">
        <v>132</v>
      </c>
      <c r="F24" s="1" t="s">
        <v>107</v>
      </c>
      <c r="G24" s="1" t="s">
        <v>138</v>
      </c>
      <c r="I24" s="11">
        <v>9572117380</v>
      </c>
      <c r="J24" s="12" t="s">
        <v>164</v>
      </c>
    </row>
    <row r="25" spans="1:10" x14ac:dyDescent="0.3">
      <c r="J25" s="10"/>
    </row>
    <row r="27" spans="1:10" x14ac:dyDescent="0.3">
      <c r="A27" s="5" t="s">
        <v>103</v>
      </c>
      <c r="B27" s="5" t="s">
        <v>145</v>
      </c>
      <c r="C27" s="5" t="s">
        <v>146</v>
      </c>
    </row>
    <row r="28" spans="1:10" x14ac:dyDescent="0.3">
      <c r="A28" s="1" t="s">
        <v>118</v>
      </c>
      <c r="B28" s="1">
        <v>54</v>
      </c>
      <c r="C28" s="1" t="s">
        <v>151</v>
      </c>
    </row>
    <row r="29" spans="1:10" x14ac:dyDescent="0.3">
      <c r="A29" s="1" t="s">
        <v>104</v>
      </c>
      <c r="B29" s="1">
        <v>70</v>
      </c>
      <c r="C29" s="1" t="s">
        <v>147</v>
      </c>
    </row>
    <row r="30" spans="1:10" x14ac:dyDescent="0.3">
      <c r="A30" s="1" t="s">
        <v>105</v>
      </c>
      <c r="B30" s="1">
        <v>42</v>
      </c>
      <c r="C30" s="1" t="s">
        <v>148</v>
      </c>
    </row>
    <row r="31" spans="1:10" x14ac:dyDescent="0.3">
      <c r="A31" s="1" t="s">
        <v>106</v>
      </c>
      <c r="B31" s="1">
        <v>53</v>
      </c>
      <c r="C31" s="1" t="s">
        <v>149</v>
      </c>
    </row>
    <row r="32" spans="1:10" x14ac:dyDescent="0.3">
      <c r="A32" s="1" t="s">
        <v>107</v>
      </c>
      <c r="B32" s="1">
        <v>60</v>
      </c>
      <c r="C32" s="1" t="s">
        <v>150</v>
      </c>
    </row>
  </sheetData>
  <hyperlinks>
    <hyperlink ref="J10" r:id="rId1" xr:uid="{6622BB2C-AAB9-4FA3-8299-ECF0212B8AC1}"/>
    <hyperlink ref="J11" r:id="rId2" xr:uid="{7D2406B0-C7A0-4E31-8D4E-8E3BA0A63ABF}"/>
    <hyperlink ref="J12" r:id="rId3" xr:uid="{A4E41D04-D4E0-4BB0-98F5-A22DB55D2931}"/>
    <hyperlink ref="J13" r:id="rId4" xr:uid="{4B78EB08-D156-4D9F-B819-8F1C9BC37F05}"/>
    <hyperlink ref="J14" r:id="rId5" xr:uid="{0251ED98-771C-4B3E-8800-D5E5B6CD38D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F585-2F1F-471F-B797-76304E0FAF89}">
  <sheetPr codeName="Sheet6"/>
  <dimension ref="A1:E82"/>
  <sheetViews>
    <sheetView zoomScale="130" zoomScaleNormal="130" workbookViewId="0">
      <selection activeCell="D50" sqref="D50"/>
    </sheetView>
  </sheetViews>
  <sheetFormatPr defaultRowHeight="14.4" outlineLevelRow="2" x14ac:dyDescent="0.3"/>
  <cols>
    <col min="1" max="1" width="15.109375" bestFit="1" customWidth="1"/>
    <col min="2" max="2" width="12.33203125" bestFit="1" customWidth="1"/>
    <col min="4" max="4" width="8.88671875" customWidth="1"/>
    <col min="8" max="8" width="15.109375" bestFit="1" customWidth="1"/>
    <col min="9" max="9" width="7.109375" bestFit="1" customWidth="1"/>
  </cols>
  <sheetData>
    <row r="1" spans="1:2" x14ac:dyDescent="0.3">
      <c r="A1" s="1" t="s">
        <v>1</v>
      </c>
      <c r="B1" s="14" t="s">
        <v>165</v>
      </c>
    </row>
    <row r="2" spans="1:2" x14ac:dyDescent="0.3">
      <c r="A2" s="1" t="s">
        <v>5</v>
      </c>
      <c r="B2" s="14">
        <v>54000</v>
      </c>
    </row>
    <row r="3" spans="1:2" hidden="1" outlineLevel="2" x14ac:dyDescent="0.3">
      <c r="A3" s="1"/>
      <c r="B3" s="14"/>
    </row>
    <row r="4" spans="1:2" hidden="1" outlineLevel="2" collapsed="1" x14ac:dyDescent="0.3">
      <c r="A4" s="1"/>
      <c r="B4" s="14"/>
    </row>
    <row r="5" spans="1:2" hidden="1" outlineLevel="2" collapsed="1" x14ac:dyDescent="0.3">
      <c r="A5" s="1"/>
      <c r="B5" s="14"/>
    </row>
    <row r="6" spans="1:2" hidden="1" outlineLevel="1" collapsed="1" x14ac:dyDescent="0.3">
      <c r="A6" s="1"/>
      <c r="B6" s="14"/>
    </row>
    <row r="7" spans="1:2" hidden="1" outlineLevel="2" x14ac:dyDescent="0.3">
      <c r="A7" s="1"/>
      <c r="B7" s="14"/>
    </row>
    <row r="8" spans="1:2" hidden="1" outlineLevel="2" collapsed="1" x14ac:dyDescent="0.3">
      <c r="A8" s="1"/>
      <c r="B8" s="14"/>
    </row>
    <row r="9" spans="1:2" hidden="1" outlineLevel="2" collapsed="1" x14ac:dyDescent="0.3">
      <c r="A9" s="1"/>
      <c r="B9" s="14"/>
    </row>
    <row r="10" spans="1:2" hidden="1" outlineLevel="1" collapsed="1" x14ac:dyDescent="0.3">
      <c r="A10" s="1"/>
      <c r="B10" s="14"/>
    </row>
    <row r="11" spans="1:2" hidden="1" outlineLevel="2" x14ac:dyDescent="0.3">
      <c r="A11" s="1"/>
      <c r="B11" s="14"/>
    </row>
    <row r="12" spans="1:2" hidden="1" outlineLevel="2" collapsed="1" x14ac:dyDescent="0.3">
      <c r="A12" s="1"/>
      <c r="B12" s="14"/>
    </row>
    <row r="13" spans="1:2" hidden="1" outlineLevel="2" collapsed="1" x14ac:dyDescent="0.3">
      <c r="A13" s="1"/>
      <c r="B13" s="14"/>
    </row>
    <row r="14" spans="1:2" hidden="1" outlineLevel="1" collapsed="1" x14ac:dyDescent="0.3">
      <c r="A14" s="1"/>
      <c r="B14" s="14"/>
    </row>
    <row r="15" spans="1:2" hidden="1" outlineLevel="2" x14ac:dyDescent="0.3">
      <c r="A15" s="1"/>
      <c r="B15" s="14"/>
    </row>
    <row r="16" spans="1:2" hidden="1" outlineLevel="2" x14ac:dyDescent="0.3">
      <c r="A16" s="1"/>
      <c r="B16" s="14"/>
    </row>
    <row r="17" spans="1:2" hidden="1" outlineLevel="2" x14ac:dyDescent="0.3">
      <c r="A17" s="1"/>
      <c r="B17" s="14"/>
    </row>
    <row r="18" spans="1:2" collapsed="1" x14ac:dyDescent="0.3">
      <c r="A18" s="1" t="s">
        <v>6</v>
      </c>
      <c r="B18" s="14">
        <v>45000</v>
      </c>
    </row>
    <row r="19" spans="1:2" hidden="1" outlineLevel="2" x14ac:dyDescent="0.3">
      <c r="A19" s="1"/>
      <c r="B19" s="14"/>
    </row>
    <row r="20" spans="1:2" hidden="1" outlineLevel="2" collapsed="1" x14ac:dyDescent="0.3">
      <c r="A20" s="1"/>
      <c r="B20" s="14"/>
    </row>
    <row r="21" spans="1:2" hidden="1" outlineLevel="2" collapsed="1" x14ac:dyDescent="0.3">
      <c r="A21" s="1"/>
      <c r="B21" s="14"/>
    </row>
    <row r="22" spans="1:2" hidden="1" outlineLevel="1" collapsed="1" x14ac:dyDescent="0.3">
      <c r="A22" s="1"/>
      <c r="B22" s="14"/>
    </row>
    <row r="23" spans="1:2" hidden="1" outlineLevel="2" x14ac:dyDescent="0.3">
      <c r="A23" s="1"/>
      <c r="B23" s="14"/>
    </row>
    <row r="24" spans="1:2" hidden="1" outlineLevel="2" collapsed="1" x14ac:dyDescent="0.3">
      <c r="A24" s="1"/>
      <c r="B24" s="14"/>
    </row>
    <row r="25" spans="1:2" hidden="1" outlineLevel="2" collapsed="1" x14ac:dyDescent="0.3">
      <c r="A25" s="1"/>
      <c r="B25" s="14"/>
    </row>
    <row r="26" spans="1:2" hidden="1" outlineLevel="1" collapsed="1" x14ac:dyDescent="0.3">
      <c r="A26" s="1"/>
      <c r="B26" s="14"/>
    </row>
    <row r="27" spans="1:2" hidden="1" outlineLevel="2" x14ac:dyDescent="0.3">
      <c r="A27" s="1"/>
      <c r="B27" s="14"/>
    </row>
    <row r="28" spans="1:2" hidden="1" outlineLevel="2" collapsed="1" x14ac:dyDescent="0.3">
      <c r="A28" s="1"/>
      <c r="B28" s="14"/>
    </row>
    <row r="29" spans="1:2" hidden="1" outlineLevel="2" collapsed="1" x14ac:dyDescent="0.3">
      <c r="A29" s="1"/>
      <c r="B29" s="14"/>
    </row>
    <row r="30" spans="1:2" hidden="1" outlineLevel="1" collapsed="1" x14ac:dyDescent="0.3">
      <c r="A30" s="1"/>
      <c r="B30" s="14"/>
    </row>
    <row r="31" spans="1:2" hidden="1" outlineLevel="2" x14ac:dyDescent="0.3">
      <c r="A31" s="1"/>
      <c r="B31" s="14"/>
    </row>
    <row r="32" spans="1:2" hidden="1" outlineLevel="2" x14ac:dyDescent="0.3">
      <c r="A32" s="1"/>
      <c r="B32" s="14"/>
    </row>
    <row r="33" spans="1:2" hidden="1" outlineLevel="2" x14ac:dyDescent="0.3">
      <c r="A33" s="1"/>
      <c r="B33" s="14"/>
    </row>
    <row r="34" spans="1:2" collapsed="1" x14ac:dyDescent="0.3">
      <c r="A34" s="1" t="s">
        <v>7</v>
      </c>
      <c r="B34" s="14">
        <v>54000</v>
      </c>
    </row>
    <row r="35" spans="1:2" hidden="1" outlineLevel="2" x14ac:dyDescent="0.3">
      <c r="A35" s="1"/>
      <c r="B35" s="14"/>
    </row>
    <row r="36" spans="1:2" hidden="1" outlineLevel="2" collapsed="1" x14ac:dyDescent="0.3">
      <c r="A36" s="1"/>
      <c r="B36" s="14"/>
    </row>
    <row r="37" spans="1:2" hidden="1" outlineLevel="2" collapsed="1" x14ac:dyDescent="0.3">
      <c r="A37" s="1"/>
      <c r="B37" s="14"/>
    </row>
    <row r="38" spans="1:2" hidden="1" outlineLevel="1" collapsed="1" x14ac:dyDescent="0.3">
      <c r="A38" s="1"/>
      <c r="B38" s="14"/>
    </row>
    <row r="39" spans="1:2" hidden="1" outlineLevel="2" x14ac:dyDescent="0.3">
      <c r="A39" s="1"/>
      <c r="B39" s="14"/>
    </row>
    <row r="40" spans="1:2" hidden="1" outlineLevel="2" collapsed="1" x14ac:dyDescent="0.3">
      <c r="A40" s="1"/>
      <c r="B40" s="14"/>
    </row>
    <row r="41" spans="1:2" hidden="1" outlineLevel="2" collapsed="1" x14ac:dyDescent="0.3">
      <c r="A41" s="1"/>
      <c r="B41" s="14"/>
    </row>
    <row r="42" spans="1:2" hidden="1" outlineLevel="1" collapsed="1" x14ac:dyDescent="0.3">
      <c r="A42" s="1"/>
      <c r="B42" s="14"/>
    </row>
    <row r="43" spans="1:2" hidden="1" outlineLevel="2" x14ac:dyDescent="0.3">
      <c r="A43" s="1"/>
      <c r="B43" s="14"/>
    </row>
    <row r="44" spans="1:2" hidden="1" outlineLevel="2" collapsed="1" x14ac:dyDescent="0.3">
      <c r="A44" s="1"/>
      <c r="B44" s="14"/>
    </row>
    <row r="45" spans="1:2" hidden="1" outlineLevel="2" collapsed="1" x14ac:dyDescent="0.3">
      <c r="A45" s="1"/>
      <c r="B45" s="14"/>
    </row>
    <row r="46" spans="1:2" hidden="1" outlineLevel="1" collapsed="1" x14ac:dyDescent="0.3">
      <c r="A46" s="1"/>
      <c r="B46" s="14"/>
    </row>
    <row r="47" spans="1:2" hidden="1" outlineLevel="2" x14ac:dyDescent="0.3">
      <c r="A47" s="1"/>
      <c r="B47" s="14"/>
    </row>
    <row r="48" spans="1:2" hidden="1" outlineLevel="2" x14ac:dyDescent="0.3">
      <c r="A48" s="1"/>
      <c r="B48" s="14"/>
    </row>
    <row r="49" spans="1:5" hidden="1" outlineLevel="2" x14ac:dyDescent="0.3">
      <c r="A49" s="1"/>
      <c r="B49" s="14"/>
    </row>
    <row r="50" spans="1:5" collapsed="1" x14ac:dyDescent="0.3">
      <c r="A50" s="1" t="s">
        <v>8</v>
      </c>
      <c r="B50" s="14">
        <v>45000</v>
      </c>
    </row>
    <row r="51" spans="1:5" hidden="1" outlineLevel="1" x14ac:dyDescent="0.3">
      <c r="A51" s="1"/>
      <c r="B51" s="14"/>
    </row>
    <row r="52" spans="1:5" hidden="1" outlineLevel="1" collapsed="1" x14ac:dyDescent="0.3">
      <c r="A52" s="1"/>
      <c r="B52" s="14"/>
    </row>
    <row r="53" spans="1:5" hidden="1" outlineLevel="1" collapsed="1" x14ac:dyDescent="0.3">
      <c r="A53" s="1"/>
      <c r="B53" s="14"/>
    </row>
    <row r="54" spans="1:5" collapsed="1" x14ac:dyDescent="0.3">
      <c r="A54" s="1" t="s">
        <v>9</v>
      </c>
      <c r="B54" s="14">
        <v>75000</v>
      </c>
    </row>
    <row r="55" spans="1:5" hidden="1" outlineLevel="1" x14ac:dyDescent="0.3">
      <c r="A55" s="1"/>
      <c r="B55" s="14"/>
    </row>
    <row r="56" spans="1:5" hidden="1" outlineLevel="1" collapsed="1" x14ac:dyDescent="0.3">
      <c r="A56" s="1"/>
      <c r="B56" s="14"/>
    </row>
    <row r="57" spans="1:5" hidden="1" outlineLevel="1" collapsed="1" x14ac:dyDescent="0.3">
      <c r="A57" s="1"/>
      <c r="B57" s="14"/>
    </row>
    <row r="58" spans="1:5" collapsed="1" x14ac:dyDescent="0.3">
      <c r="A58" s="1" t="s">
        <v>10</v>
      </c>
      <c r="B58" s="14">
        <v>45000</v>
      </c>
    </row>
    <row r="59" spans="1:5" hidden="1" outlineLevel="1" x14ac:dyDescent="0.3">
      <c r="A59" s="1"/>
      <c r="B59" s="14"/>
    </row>
    <row r="60" spans="1:5" hidden="1" outlineLevel="1" collapsed="1" x14ac:dyDescent="0.3">
      <c r="A60" s="1"/>
      <c r="B60" s="14"/>
    </row>
    <row r="61" spans="1:5" hidden="1" outlineLevel="1" collapsed="1" x14ac:dyDescent="0.3">
      <c r="A61" s="1"/>
      <c r="B61" s="14"/>
    </row>
    <row r="62" spans="1:5" collapsed="1" x14ac:dyDescent="0.3">
      <c r="A62" s="1" t="s">
        <v>11</v>
      </c>
      <c r="B62" s="14">
        <v>105000</v>
      </c>
      <c r="E62" s="13"/>
    </row>
    <row r="63" spans="1:5" hidden="1" outlineLevel="1" x14ac:dyDescent="0.3">
      <c r="A63" s="1"/>
      <c r="B63" s="14"/>
      <c r="E63" s="13"/>
    </row>
    <row r="64" spans="1:5" hidden="1" outlineLevel="1" collapsed="1" x14ac:dyDescent="0.3">
      <c r="A64" s="1"/>
      <c r="B64" s="14"/>
      <c r="E64" s="13"/>
    </row>
    <row r="65" spans="1:5" hidden="1" outlineLevel="1" collapsed="1" x14ac:dyDescent="0.3">
      <c r="A65" s="1"/>
      <c r="B65" s="14"/>
      <c r="E65" s="13"/>
    </row>
    <row r="66" spans="1:5" collapsed="1" x14ac:dyDescent="0.3">
      <c r="A66" s="1" t="s">
        <v>12</v>
      </c>
      <c r="B66" s="14">
        <v>66000</v>
      </c>
    </row>
    <row r="67" spans="1:5" hidden="1" outlineLevel="1" x14ac:dyDescent="0.3">
      <c r="A67" s="1"/>
      <c r="B67" s="14"/>
    </row>
    <row r="68" spans="1:5" hidden="1" outlineLevel="1" collapsed="1" x14ac:dyDescent="0.3">
      <c r="A68" s="1"/>
      <c r="B68" s="14"/>
    </row>
    <row r="69" spans="1:5" hidden="1" outlineLevel="1" collapsed="1" x14ac:dyDescent="0.3">
      <c r="A69" s="1"/>
      <c r="B69" s="14"/>
    </row>
    <row r="70" spans="1:5" collapsed="1" x14ac:dyDescent="0.3">
      <c r="A70" s="1" t="s">
        <v>13</v>
      </c>
      <c r="B70" s="14">
        <v>48000</v>
      </c>
    </row>
    <row r="71" spans="1:5" hidden="1" outlineLevel="1" x14ac:dyDescent="0.3">
      <c r="A71" s="1"/>
      <c r="B71" s="14"/>
    </row>
    <row r="72" spans="1:5" hidden="1" outlineLevel="1" collapsed="1" x14ac:dyDescent="0.3">
      <c r="A72" s="1"/>
      <c r="B72" s="14"/>
    </row>
    <row r="73" spans="1:5" hidden="1" outlineLevel="1" collapsed="1" x14ac:dyDescent="0.3">
      <c r="A73" s="1"/>
      <c r="B73" s="14"/>
    </row>
    <row r="74" spans="1:5" collapsed="1" x14ac:dyDescent="0.3">
      <c r="A74" s="1" t="s">
        <v>14</v>
      </c>
      <c r="B74" s="14">
        <v>57000</v>
      </c>
    </row>
    <row r="75" spans="1:5" hidden="1" outlineLevel="1" x14ac:dyDescent="0.3">
      <c r="A75" s="1"/>
      <c r="B75" s="14"/>
    </row>
    <row r="76" spans="1:5" hidden="1" outlineLevel="1" collapsed="1" x14ac:dyDescent="0.3">
      <c r="A76" s="1"/>
      <c r="B76" s="14"/>
    </row>
    <row r="77" spans="1:5" hidden="1" outlineLevel="1" collapsed="1" x14ac:dyDescent="0.3">
      <c r="A77" s="1"/>
      <c r="B77" s="14"/>
    </row>
    <row r="78" spans="1:5" collapsed="1" x14ac:dyDescent="0.3">
      <c r="A78" s="1" t="s">
        <v>15</v>
      </c>
      <c r="B78" s="14">
        <v>105000</v>
      </c>
    </row>
    <row r="79" spans="1:5" hidden="1" outlineLevel="1" x14ac:dyDescent="0.3">
      <c r="A79" s="1"/>
      <c r="B79" s="14"/>
    </row>
    <row r="80" spans="1:5" hidden="1" outlineLevel="1" collapsed="1" x14ac:dyDescent="0.3">
      <c r="A80" s="1"/>
      <c r="B80" s="14"/>
    </row>
    <row r="81" spans="1:2" hidden="1" outlineLevel="1" collapsed="1" x14ac:dyDescent="0.3">
      <c r="A81" s="1"/>
      <c r="B81" s="14"/>
    </row>
    <row r="82" spans="1:2" collapsed="1" x14ac:dyDescent="0.3">
      <c r="A82" s="1" t="s">
        <v>16</v>
      </c>
      <c r="B82" s="14">
        <v>63000</v>
      </c>
    </row>
  </sheetData>
  <dataConsolidate link="1">
    <dataRefs count="3">
      <dataRef ref="B1:B13" sheet="PART20-1"/>
      <dataRef ref="B1:B13" sheet="PART20-2"/>
      <dataRef ref="B1:B13" sheet="PART20-3"/>
    </dataRefs>
  </dataConsolid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9CF35-4322-4E1E-93AD-F17C2AE5CA26}">
  <sheetPr codeName="Sheet7"/>
  <dimension ref="A1:B13"/>
  <sheetViews>
    <sheetView zoomScaleNormal="100" workbookViewId="0">
      <selection activeCell="J28" sqref="J28"/>
    </sheetView>
  </sheetViews>
  <sheetFormatPr defaultRowHeight="14.4" x14ac:dyDescent="0.3"/>
  <sheetData>
    <row r="1" spans="1:2" x14ac:dyDescent="0.3">
      <c r="A1" s="1" t="s">
        <v>1</v>
      </c>
      <c r="B1" s="1" t="s">
        <v>165</v>
      </c>
    </row>
    <row r="2" spans="1:2" x14ac:dyDescent="0.3">
      <c r="A2" s="1" t="s">
        <v>5</v>
      </c>
      <c r="B2" s="1">
        <v>18000</v>
      </c>
    </row>
    <row r="3" spans="1:2" x14ac:dyDescent="0.3">
      <c r="A3" s="1" t="s">
        <v>6</v>
      </c>
      <c r="B3" s="1">
        <v>15000</v>
      </c>
    </row>
    <row r="4" spans="1:2" x14ac:dyDescent="0.3">
      <c r="A4" s="1" t="s">
        <v>7</v>
      </c>
      <c r="B4" s="1">
        <v>18000</v>
      </c>
    </row>
    <row r="5" spans="1:2" x14ac:dyDescent="0.3">
      <c r="A5" s="1" t="s">
        <v>8</v>
      </c>
      <c r="B5" s="1">
        <v>15000</v>
      </c>
    </row>
    <row r="6" spans="1:2" x14ac:dyDescent="0.3">
      <c r="A6" s="1" t="s">
        <v>9</v>
      </c>
      <c r="B6" s="1">
        <v>25000</v>
      </c>
    </row>
    <row r="7" spans="1:2" x14ac:dyDescent="0.3">
      <c r="A7" s="1" t="s">
        <v>10</v>
      </c>
      <c r="B7" s="1">
        <v>15000</v>
      </c>
    </row>
    <row r="8" spans="1:2" x14ac:dyDescent="0.3">
      <c r="A8" s="1" t="s">
        <v>11</v>
      </c>
      <c r="B8" s="1">
        <v>35000</v>
      </c>
    </row>
    <row r="9" spans="1:2" x14ac:dyDescent="0.3">
      <c r="A9" s="1" t="s">
        <v>12</v>
      </c>
      <c r="B9" s="1">
        <v>22000</v>
      </c>
    </row>
    <row r="10" spans="1:2" x14ac:dyDescent="0.3">
      <c r="A10" s="1" t="s">
        <v>13</v>
      </c>
      <c r="B10" s="1">
        <v>16000</v>
      </c>
    </row>
    <row r="11" spans="1:2" x14ac:dyDescent="0.3">
      <c r="A11" s="1" t="s">
        <v>14</v>
      </c>
      <c r="B11" s="1">
        <v>19000</v>
      </c>
    </row>
    <row r="12" spans="1:2" x14ac:dyDescent="0.3">
      <c r="A12" s="1" t="s">
        <v>15</v>
      </c>
      <c r="B12" s="1">
        <v>35000</v>
      </c>
    </row>
    <row r="13" spans="1:2" x14ac:dyDescent="0.3">
      <c r="A13" s="1" t="s">
        <v>16</v>
      </c>
      <c r="B13" s="1">
        <v>21000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544C3-E715-4240-8C1E-D545C2E46DF2}">
  <sheetPr codeName="Sheet8"/>
  <dimension ref="A1:B13"/>
  <sheetViews>
    <sheetView zoomScale="160" zoomScaleNormal="160" workbookViewId="0">
      <selection sqref="A1:A1048576"/>
    </sheetView>
  </sheetViews>
  <sheetFormatPr defaultRowHeight="14.4" x14ac:dyDescent="0.3"/>
  <cols>
    <col min="1" max="1" width="14.6640625" bestFit="1" customWidth="1"/>
  </cols>
  <sheetData>
    <row r="1" spans="1:2" x14ac:dyDescent="0.3">
      <c r="A1" s="1" t="s">
        <v>1</v>
      </c>
      <c r="B1" s="1" t="s">
        <v>165</v>
      </c>
    </row>
    <row r="2" spans="1:2" x14ac:dyDescent="0.3">
      <c r="A2" s="1" t="s">
        <v>5</v>
      </c>
      <c r="B2" s="1">
        <v>18000</v>
      </c>
    </row>
    <row r="3" spans="1:2" x14ac:dyDescent="0.3">
      <c r="A3" s="1" t="s">
        <v>6</v>
      </c>
      <c r="B3" s="1">
        <v>15000</v>
      </c>
    </row>
    <row r="4" spans="1:2" x14ac:dyDescent="0.3">
      <c r="A4" s="1" t="s">
        <v>7</v>
      </c>
      <c r="B4" s="1">
        <v>18000</v>
      </c>
    </row>
    <row r="5" spans="1:2" x14ac:dyDescent="0.3">
      <c r="A5" s="1" t="s">
        <v>8</v>
      </c>
      <c r="B5" s="1">
        <v>15000</v>
      </c>
    </row>
    <row r="6" spans="1:2" x14ac:dyDescent="0.3">
      <c r="A6" s="1" t="s">
        <v>9</v>
      </c>
      <c r="B6" s="1">
        <v>25000</v>
      </c>
    </row>
    <row r="7" spans="1:2" x14ac:dyDescent="0.3">
      <c r="A7" s="1" t="s">
        <v>10</v>
      </c>
      <c r="B7" s="1">
        <v>15000</v>
      </c>
    </row>
    <row r="8" spans="1:2" x14ac:dyDescent="0.3">
      <c r="A8" s="1" t="s">
        <v>11</v>
      </c>
      <c r="B8" s="1">
        <v>35000</v>
      </c>
    </row>
    <row r="9" spans="1:2" x14ac:dyDescent="0.3">
      <c r="A9" s="1" t="s">
        <v>12</v>
      </c>
      <c r="B9" s="1">
        <v>22000</v>
      </c>
    </row>
    <row r="10" spans="1:2" x14ac:dyDescent="0.3">
      <c r="A10" s="1" t="s">
        <v>13</v>
      </c>
      <c r="B10" s="1">
        <v>16000</v>
      </c>
    </row>
    <row r="11" spans="1:2" x14ac:dyDescent="0.3">
      <c r="A11" s="1" t="s">
        <v>14</v>
      </c>
      <c r="B11" s="1">
        <v>19000</v>
      </c>
    </row>
    <row r="12" spans="1:2" x14ac:dyDescent="0.3">
      <c r="A12" s="1" t="s">
        <v>15</v>
      </c>
      <c r="B12" s="1">
        <v>35000</v>
      </c>
    </row>
    <row r="13" spans="1:2" x14ac:dyDescent="0.3">
      <c r="A13" s="1" t="s">
        <v>16</v>
      </c>
      <c r="B13" s="1">
        <v>21000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9406-4E02-47A0-8076-1ACC1CD450BA}">
  <sheetPr codeName="Sheet9"/>
  <dimension ref="A1:B13"/>
  <sheetViews>
    <sheetView zoomScale="160" zoomScaleNormal="160" workbookViewId="0">
      <selection activeCell="D6" sqref="D6"/>
    </sheetView>
  </sheetViews>
  <sheetFormatPr defaultRowHeight="14.4" x14ac:dyDescent="0.3"/>
  <cols>
    <col min="1" max="1" width="14.5546875" bestFit="1" customWidth="1"/>
    <col min="2" max="2" width="7.109375" bestFit="1" customWidth="1"/>
  </cols>
  <sheetData>
    <row r="1" spans="1:2" x14ac:dyDescent="0.3">
      <c r="A1" s="1" t="s">
        <v>1</v>
      </c>
      <c r="B1" s="1" t="s">
        <v>165</v>
      </c>
    </row>
    <row r="2" spans="1:2" x14ac:dyDescent="0.3">
      <c r="A2" s="1" t="s">
        <v>5</v>
      </c>
      <c r="B2" s="1">
        <v>18000</v>
      </c>
    </row>
    <row r="3" spans="1:2" x14ac:dyDescent="0.3">
      <c r="A3" s="1" t="s">
        <v>6</v>
      </c>
      <c r="B3" s="1">
        <v>15000</v>
      </c>
    </row>
    <row r="4" spans="1:2" x14ac:dyDescent="0.3">
      <c r="A4" s="1" t="s">
        <v>7</v>
      </c>
      <c r="B4" s="1">
        <v>18000</v>
      </c>
    </row>
    <row r="5" spans="1:2" x14ac:dyDescent="0.3">
      <c r="A5" s="1" t="s">
        <v>8</v>
      </c>
      <c r="B5" s="1">
        <v>15000</v>
      </c>
    </row>
    <row r="6" spans="1:2" x14ac:dyDescent="0.3">
      <c r="A6" s="1" t="s">
        <v>9</v>
      </c>
      <c r="B6" s="1">
        <v>25000</v>
      </c>
    </row>
    <row r="7" spans="1:2" x14ac:dyDescent="0.3">
      <c r="A7" s="1" t="s">
        <v>10</v>
      </c>
      <c r="B7" s="1">
        <v>15000</v>
      </c>
    </row>
    <row r="8" spans="1:2" x14ac:dyDescent="0.3">
      <c r="A8" s="1" t="s">
        <v>11</v>
      </c>
      <c r="B8" s="1">
        <v>35000</v>
      </c>
    </row>
    <row r="9" spans="1:2" x14ac:dyDescent="0.3">
      <c r="A9" s="1" t="s">
        <v>12</v>
      </c>
      <c r="B9" s="1">
        <v>22000</v>
      </c>
    </row>
    <row r="10" spans="1:2" x14ac:dyDescent="0.3">
      <c r="A10" s="1" t="s">
        <v>13</v>
      </c>
      <c r="B10" s="1">
        <v>16000</v>
      </c>
    </row>
    <row r="11" spans="1:2" x14ac:dyDescent="0.3">
      <c r="A11" s="1" t="s">
        <v>14</v>
      </c>
      <c r="B11" s="1">
        <v>19000</v>
      </c>
    </row>
    <row r="12" spans="1:2" x14ac:dyDescent="0.3">
      <c r="A12" s="1" t="s">
        <v>15</v>
      </c>
      <c r="B12" s="1">
        <v>35000</v>
      </c>
    </row>
    <row r="13" spans="1:2" x14ac:dyDescent="0.3">
      <c r="A13" s="1" t="s">
        <v>16</v>
      </c>
      <c r="B13" s="1">
        <v>21000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F4E06-967F-4989-BE2B-BC59136A78CC}">
  <dimension ref="A1:N8"/>
  <sheetViews>
    <sheetView topLeftCell="C1" zoomScale="160" zoomScaleNormal="160" workbookViewId="0">
      <selection activeCell="K7" sqref="K7"/>
    </sheetView>
  </sheetViews>
  <sheetFormatPr defaultRowHeight="14.4" x14ac:dyDescent="0.3"/>
  <cols>
    <col min="1" max="1" width="5.5546875" bestFit="1" customWidth="1"/>
    <col min="2" max="2" width="13.77734375" bestFit="1" customWidth="1"/>
    <col min="3" max="3" width="11.21875" bestFit="1" customWidth="1"/>
    <col min="4" max="4" width="14.33203125" bestFit="1" customWidth="1"/>
    <col min="5" max="5" width="11.44140625" bestFit="1" customWidth="1"/>
    <col min="6" max="6" width="16.21875" bestFit="1" customWidth="1"/>
    <col min="7" max="7" width="4" bestFit="1" customWidth="1"/>
    <col min="8" max="8" width="11.44140625" customWidth="1"/>
    <col min="9" max="9" width="11.5546875" bestFit="1" customWidth="1"/>
    <col min="10" max="10" width="7.5546875" bestFit="1" customWidth="1"/>
    <col min="11" max="11" width="11.6640625" bestFit="1" customWidth="1"/>
    <col min="14" max="14" width="11" bestFit="1" customWidth="1"/>
  </cols>
  <sheetData>
    <row r="1" spans="1:14" x14ac:dyDescent="0.3">
      <c r="A1" t="s">
        <v>166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145</v>
      </c>
      <c r="H1" t="s">
        <v>172</v>
      </c>
      <c r="I1" t="s">
        <v>176</v>
      </c>
      <c r="J1" t="s">
        <v>177</v>
      </c>
      <c r="K1" t="s">
        <v>178</v>
      </c>
    </row>
    <row r="2" spans="1:14" x14ac:dyDescent="0.3">
      <c r="A2">
        <v>1</v>
      </c>
      <c r="B2" t="s">
        <v>173</v>
      </c>
      <c r="C2">
        <v>9708895075</v>
      </c>
      <c r="D2" t="s">
        <v>175</v>
      </c>
      <c r="E2" s="15">
        <v>37967</v>
      </c>
      <c r="F2" s="16">
        <v>0.39583333333333331</v>
      </c>
      <c r="G2">
        <v>35</v>
      </c>
      <c r="H2" t="s">
        <v>180</v>
      </c>
      <c r="J2">
        <v>5.7</v>
      </c>
      <c r="K2">
        <v>3</v>
      </c>
      <c r="N2" t="s">
        <v>179</v>
      </c>
    </row>
    <row r="3" spans="1:14" x14ac:dyDescent="0.3">
      <c r="A3">
        <v>2</v>
      </c>
      <c r="B3" t="s">
        <v>174</v>
      </c>
      <c r="C3">
        <v>9812326672</v>
      </c>
      <c r="H3" t="s">
        <v>181</v>
      </c>
      <c r="J3">
        <v>2.2999999999999998</v>
      </c>
      <c r="N3" t="s">
        <v>180</v>
      </c>
    </row>
    <row r="4" spans="1:14" x14ac:dyDescent="0.3">
      <c r="A4">
        <v>3</v>
      </c>
      <c r="H4" t="s">
        <v>186</v>
      </c>
      <c r="N4" t="s">
        <v>181</v>
      </c>
    </row>
    <row r="5" spans="1:14" x14ac:dyDescent="0.3">
      <c r="A5">
        <v>4</v>
      </c>
      <c r="N5" t="s">
        <v>182</v>
      </c>
    </row>
    <row r="6" spans="1:14" x14ac:dyDescent="0.3">
      <c r="A6">
        <v>5</v>
      </c>
      <c r="N6" t="s">
        <v>183</v>
      </c>
    </row>
    <row r="7" spans="1:14" x14ac:dyDescent="0.3">
      <c r="N7" t="s">
        <v>184</v>
      </c>
    </row>
    <row r="8" spans="1:14" x14ac:dyDescent="0.3">
      <c r="N8" t="s">
        <v>185</v>
      </c>
    </row>
  </sheetData>
  <dataConsolidate/>
  <dataValidations count="11">
    <dataValidation type="custom" allowBlank="1" showInputMessage="1" showErrorMessage="1" errorTitle="abe yaar" error="please enter the text_x000a_" sqref="B1:B1048576" xr:uid="{E278FA54-B556-4524-8353-25EC3ED92CEB}">
      <formula1>"istext(B:B)"</formula1>
    </dataValidation>
    <dataValidation type="whole" operator="equal" allowBlank="1" showInputMessage="1" showErrorMessage="1" errorTitle="shudhr ja bhai kya kr raha hai" error="number ka length 10 hi hota_x000a_" sqref="C1:C1048576" xr:uid="{08062B96-C2BA-4EE4-9297-DCDD2EF19B44}">
      <formula1>10</formula1>
    </dataValidation>
    <dataValidation type="whole" operator="equal" allowBlank="1" showInputMessage="1" showErrorMessage="1" errorTitle="ab ye v btana predga " error="aadhar me kitna number hota hai_x000a_" sqref="D1:D1048576" xr:uid="{4FA283E3-3017-40FE-A313-EB311A572B2A}">
      <formula1>12</formula1>
    </dataValidation>
    <dataValidation type="date" allowBlank="1" showInputMessage="1" showErrorMessage="1" errorTitle="pehle to apna age dekh lo" error="phir yaha aana abhi 18 ka v nahi huaa chale aaye yahe" sqref="E1:E1048576" xr:uid="{E7750CDC-B0FC-4CD4-A400-5A1615947679}">
      <formula1>31048</formula1>
      <formula2>37967</formula2>
    </dataValidation>
    <dataValidation type="time" allowBlank="1" showInputMessage="1" showErrorMessage="1" errorTitle="rukehiye" error="time khtm huaa" sqref="F1:F1048576" xr:uid="{C2E2FD3C-3F67-4C38-BFA8-8F74BC1D79F8}">
      <formula1>0.395833333333333</formula1>
      <formula2>0.791666666666667</formula2>
    </dataValidation>
    <dataValidation type="whole" allowBlank="1" showInputMessage="1" showErrorMessage="1" errorTitle="maff kre" error="aapka age nahi h" sqref="G1:G1048576" xr:uid="{D35C9F9F-66A8-4CF0-A30A-072278F78DCE}">
      <formula1>18</formula1>
      <formula2>60</formula2>
    </dataValidation>
    <dataValidation type="list" errorStyle="warning" allowBlank="1" showInputMessage="1" showErrorMessage="1" errorTitle="Thik h " error="agr aap chahte h to me add kr skta hoo_x000a_" sqref="H1:H1048576" xr:uid="{5B981FBE-16E6-4F95-9D52-815EB17D2731}">
      <formula1>"Darbhanga,Muzffarpur,Shamastipur,Madhubani,Jainagar,Buxar,Chapra"</formula1>
    </dataValidation>
    <dataValidation errorStyle="information" allowBlank="1" showInputMessage="1" showErrorMessage="1" errorTitle="koi baat nahi" error="agr aapke pass nahi hai to aap ise khali chor skte hai" sqref="I1 I3:I1048576" xr:uid="{5259D24D-E31B-4FA3-A0B3-922DB2EFE339}"/>
    <dataValidation errorStyle="information" allowBlank="1" showInputMessage="1" showErrorMessage="1" promptTitle="koi baat nahi" prompt="agr aapke pass nahi hai to aap ise khali chor skte hai" sqref="I2" xr:uid="{FB5C93C0-F060-49FD-973A-01878FDACADB}"/>
    <dataValidation type="whole" allowBlank="1" showInputMessage="1" showErrorMessage="1" errorTitle="itna to pta hi hona chahiye" error="rating me kitna point hota chalo me hi bta deta hoo maximum 5 or minimum 1_x000a_" sqref="K1:K2 K4:K1048576" xr:uid="{5D493E51-91CE-4DAC-B1FA-70EEDC8858FA}">
      <formula1>1</formula1>
      <formula2>5</formula2>
    </dataValidation>
    <dataValidation type="whole" allowBlank="1" showInputMessage="1" showErrorMessage="1" errorTitle="itna to pta hi hona chahiye" error="rating me kitna point hota hai chalo me hi bta deta hoo maximum 5 or minimum 1_x000a_" sqref="K3" xr:uid="{01991F33-283A-42B4-8323-53E584D1127F}">
      <formula1>1</formula1>
      <formula2>5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9BA22-65F9-46E3-9939-B68D7C7FBF46}">
  <dimension ref="A1:C6"/>
  <sheetViews>
    <sheetView zoomScale="160" zoomScaleNormal="160" workbookViewId="0">
      <selection activeCell="E7" sqref="E7"/>
    </sheetView>
  </sheetViews>
  <sheetFormatPr defaultRowHeight="14.4" x14ac:dyDescent="0.3"/>
  <cols>
    <col min="1" max="1" width="5" bestFit="1" customWidth="1"/>
    <col min="2" max="2" width="11.44140625" bestFit="1" customWidth="1"/>
  </cols>
  <sheetData>
    <row r="1" spans="1:3" x14ac:dyDescent="0.3">
      <c r="A1" s="17" t="s">
        <v>187</v>
      </c>
      <c r="B1" s="17" t="s">
        <v>188</v>
      </c>
      <c r="C1" s="17" t="s">
        <v>189</v>
      </c>
    </row>
    <row r="2" spans="1:3" x14ac:dyDescent="0.3">
      <c r="A2" s="11">
        <v>1</v>
      </c>
      <c r="B2" s="1" t="s">
        <v>190</v>
      </c>
      <c r="C2" s="11">
        <v>230</v>
      </c>
    </row>
    <row r="3" spans="1:3" x14ac:dyDescent="0.3">
      <c r="A3" s="11">
        <v>2</v>
      </c>
      <c r="B3" s="1" t="s">
        <v>191</v>
      </c>
      <c r="C3" s="11">
        <v>500</v>
      </c>
    </row>
    <row r="4" spans="1:3" x14ac:dyDescent="0.3">
      <c r="A4" s="11">
        <v>3</v>
      </c>
      <c r="B4" s="1" t="s">
        <v>192</v>
      </c>
      <c r="C4" s="11">
        <v>250</v>
      </c>
    </row>
    <row r="5" spans="1:3" x14ac:dyDescent="0.3">
      <c r="A5" s="11">
        <v>4</v>
      </c>
      <c r="B5" s="1" t="s">
        <v>193</v>
      </c>
      <c r="C5" s="11">
        <v>300</v>
      </c>
    </row>
    <row r="6" spans="1:3" x14ac:dyDescent="0.3">
      <c r="A6" s="11">
        <v>5</v>
      </c>
      <c r="B6" s="1" t="s">
        <v>194</v>
      </c>
      <c r="C6" s="11">
        <v>150</v>
      </c>
    </row>
  </sheetData>
  <scenarios current="0" show="0" sqref="G1">
    <scenario name="Regular Prices" locked="1" count="5" user="Sudhanshu Kumar" comment="Created by Sudhanshu Kumar on 26-08-2025">
      <inputCells r="C2" val="230"/>
      <inputCells r="C3" val="500"/>
      <inputCells r="C4" val="250"/>
      <inputCells r="C5" val="300"/>
      <inputCells r="C6" val="150"/>
    </scenario>
    <scenario name="Durga Puja" locked="1" count="5" user="Sudhanshu Kumar" comment="Created by Sudhanshu Kumar on 26-08-2025">
      <inputCells r="C2" val="200"/>
      <inputCells r="C3" val="399"/>
      <inputCells r="C4" val="299"/>
      <inputCells r="C5" val="400"/>
      <inputCells r="C6" val="199"/>
    </scenario>
    <scenario name="Diwali" locked="1" count="5" user="Sudhanshu Kumar" comment="Created by Sudhanshu Kumar on 26-08-2025">
      <inputCells r="C2" val="199"/>
      <inputCells r="C3" val="599"/>
      <inputCells r="C4" val="250"/>
      <inputCells r="C5" val="250"/>
      <inputCells r="C6" val="250"/>
    </scenario>
    <scenario name="Winter Vaction" locked="1" count="5" user="Sudhanshu Kumar" comment="Created by Sudhanshu Kumar on 26-08-2025">
      <inputCells r="C2" val="230"/>
      <inputCells r="C3" val="399"/>
      <inputCells r="C4" val="300"/>
      <inputCells r="C5" val="249"/>
      <inputCells r="C6" val="99"/>
    </scenario>
  </scenario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85306-8CCE-4238-894B-1C31DFC554DE}">
  <sheetPr>
    <outlinePr summaryBelow="0"/>
  </sheetPr>
  <dimension ref="B1:H15"/>
  <sheetViews>
    <sheetView showGridLines="0" workbookViewId="0">
      <selection activeCell="K10" sqref="K10"/>
    </sheetView>
  </sheetViews>
  <sheetFormatPr defaultRowHeight="14.4" outlineLevelRow="1" outlineLevelCol="1" x14ac:dyDescent="0.3"/>
  <cols>
    <col min="3" max="3" width="11.44140625" style="23" bestFit="1" customWidth="1"/>
    <col min="4" max="4" width="13.109375" style="24" customWidth="1" outlineLevel="1"/>
    <col min="5" max="5" width="13.33203125" style="24" customWidth="1" outlineLevel="1"/>
    <col min="6" max="6" width="11.88671875" style="24" customWidth="1" outlineLevel="1"/>
    <col min="7" max="7" width="13.44140625" style="24" customWidth="1" outlineLevel="1"/>
    <col min="8" max="8" width="13.109375" style="24" customWidth="1" outlineLevel="1"/>
  </cols>
  <sheetData>
    <row r="1" spans="2:8" ht="15" thickBot="1" x14ac:dyDescent="0.35"/>
    <row r="2" spans="2:8" ht="15.6" x14ac:dyDescent="0.3">
      <c r="B2" s="19" t="s">
        <v>201</v>
      </c>
      <c r="C2" s="19"/>
      <c r="D2" s="25"/>
      <c r="E2" s="25"/>
      <c r="F2" s="25"/>
      <c r="G2" s="25"/>
      <c r="H2" s="25"/>
    </row>
    <row r="3" spans="2:8" ht="15.6" x14ac:dyDescent="0.3">
      <c r="B3" s="18"/>
      <c r="C3" s="18"/>
      <c r="D3" s="26" t="s">
        <v>203</v>
      </c>
      <c r="E3" s="26" t="s">
        <v>196</v>
      </c>
      <c r="F3" s="26" t="s">
        <v>198</v>
      </c>
      <c r="G3" s="26" t="s">
        <v>199</v>
      </c>
      <c r="H3" s="26" t="s">
        <v>200</v>
      </c>
    </row>
    <row r="4" spans="2:8" ht="30.6" outlineLevel="1" x14ac:dyDescent="0.3">
      <c r="B4" s="20"/>
      <c r="C4" s="20"/>
      <c r="D4" s="27"/>
      <c r="E4" s="30" t="s">
        <v>197</v>
      </c>
      <c r="F4" s="30" t="s">
        <v>197</v>
      </c>
      <c r="G4" s="30" t="s">
        <v>197</v>
      </c>
      <c r="H4" s="30" t="s">
        <v>197</v>
      </c>
    </row>
    <row r="5" spans="2:8" x14ac:dyDescent="0.3">
      <c r="B5" s="21" t="s">
        <v>202</v>
      </c>
      <c r="C5" s="21"/>
      <c r="D5" s="28"/>
      <c r="E5" s="28"/>
      <c r="F5" s="28"/>
      <c r="G5" s="28"/>
      <c r="H5" s="28"/>
    </row>
    <row r="6" spans="2:8" outlineLevel="1" x14ac:dyDescent="0.3">
      <c r="B6" s="20"/>
      <c r="C6" s="11" t="s">
        <v>190</v>
      </c>
      <c r="D6" s="27">
        <v>230</v>
      </c>
      <c r="E6" s="31">
        <v>230</v>
      </c>
      <c r="F6" s="31">
        <v>200</v>
      </c>
      <c r="G6" s="31">
        <v>199</v>
      </c>
      <c r="H6" s="31">
        <v>230</v>
      </c>
    </row>
    <row r="7" spans="2:8" outlineLevel="1" x14ac:dyDescent="0.3">
      <c r="B7" s="20"/>
      <c r="C7" s="11" t="s">
        <v>191</v>
      </c>
      <c r="D7" s="27">
        <v>500</v>
      </c>
      <c r="E7" s="31">
        <v>500</v>
      </c>
      <c r="F7" s="31">
        <v>399</v>
      </c>
      <c r="G7" s="31">
        <v>599</v>
      </c>
      <c r="H7" s="31">
        <v>399</v>
      </c>
    </row>
    <row r="8" spans="2:8" outlineLevel="1" x14ac:dyDescent="0.3">
      <c r="B8" s="20"/>
      <c r="C8" s="11" t="s">
        <v>192</v>
      </c>
      <c r="D8" s="27">
        <v>250</v>
      </c>
      <c r="E8" s="31">
        <v>250</v>
      </c>
      <c r="F8" s="31">
        <v>299</v>
      </c>
      <c r="G8" s="31">
        <v>250</v>
      </c>
      <c r="H8" s="31">
        <v>300</v>
      </c>
    </row>
    <row r="9" spans="2:8" outlineLevel="1" x14ac:dyDescent="0.3">
      <c r="B9" s="20"/>
      <c r="C9" s="11" t="s">
        <v>193</v>
      </c>
      <c r="D9" s="27">
        <v>300</v>
      </c>
      <c r="E9" s="31">
        <v>300</v>
      </c>
      <c r="F9" s="31">
        <v>400</v>
      </c>
      <c r="G9" s="31">
        <v>250</v>
      </c>
      <c r="H9" s="31">
        <v>249</v>
      </c>
    </row>
    <row r="10" spans="2:8" outlineLevel="1" x14ac:dyDescent="0.3">
      <c r="B10" s="20"/>
      <c r="C10" s="11" t="s">
        <v>194</v>
      </c>
      <c r="D10" s="27">
        <v>150</v>
      </c>
      <c r="E10" s="31">
        <v>150</v>
      </c>
      <c r="F10" s="31">
        <v>199</v>
      </c>
      <c r="G10" s="31">
        <v>250</v>
      </c>
      <c r="H10" s="31">
        <v>99</v>
      </c>
    </row>
    <row r="11" spans="2:8" collapsed="1" x14ac:dyDescent="0.3">
      <c r="B11" s="21" t="s">
        <v>204</v>
      </c>
      <c r="C11" s="21"/>
      <c r="D11" s="28"/>
      <c r="E11" s="28"/>
      <c r="F11" s="28"/>
      <c r="G11" s="28"/>
      <c r="H11" s="28"/>
    </row>
    <row r="12" spans="2:8" ht="15" hidden="1" outlineLevel="1" thickBot="1" x14ac:dyDescent="0.35">
      <c r="B12" s="22"/>
      <c r="C12" s="22" t="s">
        <v>195</v>
      </c>
      <c r="D12" s="29"/>
      <c r="E12" s="29"/>
      <c r="F12" s="29"/>
      <c r="G12" s="29"/>
      <c r="H12" s="29"/>
    </row>
    <row r="13" spans="2:8" x14ac:dyDescent="0.3">
      <c r="B13" t="s">
        <v>205</v>
      </c>
    </row>
    <row r="14" spans="2:8" x14ac:dyDescent="0.3">
      <c r="B14" t="s">
        <v>206</v>
      </c>
    </row>
    <row r="15" spans="2:8" x14ac:dyDescent="0.3">
      <c r="B15" t="s">
        <v>207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1955-377A-4D33-AF60-2C43293E1BD2}">
  <dimension ref="A1:C6"/>
  <sheetViews>
    <sheetView zoomScale="160" zoomScaleNormal="160" workbookViewId="0">
      <selection activeCell="C6" sqref="C6"/>
    </sheetView>
  </sheetViews>
  <sheetFormatPr defaultRowHeight="14.4" x14ac:dyDescent="0.3"/>
  <cols>
    <col min="2" max="2" width="11.44140625" bestFit="1" customWidth="1"/>
  </cols>
  <sheetData>
    <row r="1" spans="1:3" x14ac:dyDescent="0.3">
      <c r="A1" s="17" t="s">
        <v>187</v>
      </c>
      <c r="B1" s="17" t="s">
        <v>188</v>
      </c>
      <c r="C1" s="17" t="s">
        <v>189</v>
      </c>
    </row>
    <row r="2" spans="1:3" x14ac:dyDescent="0.3">
      <c r="A2" s="11">
        <v>1</v>
      </c>
      <c r="B2" s="1" t="s">
        <v>190</v>
      </c>
      <c r="C2" s="11">
        <v>230</v>
      </c>
    </row>
    <row r="3" spans="1:3" x14ac:dyDescent="0.3">
      <c r="A3" s="11">
        <v>2</v>
      </c>
      <c r="B3" s="1" t="s">
        <v>191</v>
      </c>
      <c r="C3" s="11">
        <v>500</v>
      </c>
    </row>
    <row r="4" spans="1:3" x14ac:dyDescent="0.3">
      <c r="A4" s="11">
        <v>3</v>
      </c>
      <c r="B4" s="1" t="s">
        <v>192</v>
      </c>
      <c r="C4" s="11">
        <v>250</v>
      </c>
    </row>
    <row r="5" spans="1:3" x14ac:dyDescent="0.3">
      <c r="A5" s="11">
        <v>4</v>
      </c>
      <c r="B5" s="1" t="s">
        <v>193</v>
      </c>
      <c r="C5" s="11">
        <v>300</v>
      </c>
    </row>
    <row r="6" spans="1:3" x14ac:dyDescent="0.3">
      <c r="A6" s="11">
        <v>5</v>
      </c>
      <c r="B6" s="1" t="s">
        <v>194</v>
      </c>
      <c r="C6" s="11">
        <v>150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7737B-E8AC-401B-AA71-F47F348918B3}">
  <dimension ref="A1:M17"/>
  <sheetViews>
    <sheetView tabSelected="1" zoomScale="160" zoomScaleNormal="160" workbookViewId="0">
      <selection activeCell="A11" sqref="A11"/>
    </sheetView>
  </sheetViews>
  <sheetFormatPr defaultRowHeight="14.4" x14ac:dyDescent="0.3"/>
  <cols>
    <col min="1" max="1" width="14.109375" bestFit="1" customWidth="1"/>
    <col min="2" max="2" width="16.109375" bestFit="1" customWidth="1"/>
    <col min="3" max="3" width="12.77734375" bestFit="1" customWidth="1"/>
    <col min="4" max="12" width="12.33203125" bestFit="1" customWidth="1"/>
  </cols>
  <sheetData>
    <row r="1" spans="1:13" x14ac:dyDescent="0.3">
      <c r="A1" s="38" t="s">
        <v>208</v>
      </c>
      <c r="B1" s="39">
        <v>0.1</v>
      </c>
      <c r="C1" s="38" t="s">
        <v>212</v>
      </c>
    </row>
    <row r="2" spans="1:13" x14ac:dyDescent="0.3">
      <c r="A2" s="38" t="s">
        <v>209</v>
      </c>
      <c r="B2" s="38">
        <v>500000</v>
      </c>
      <c r="C2" s="38" t="s">
        <v>213</v>
      </c>
    </row>
    <row r="3" spans="1:13" x14ac:dyDescent="0.3">
      <c r="A3" s="38" t="s">
        <v>210</v>
      </c>
      <c r="B3" s="38">
        <v>60</v>
      </c>
      <c r="C3" s="38" t="s">
        <v>214</v>
      </c>
    </row>
    <row r="4" spans="1:13" ht="31.2" x14ac:dyDescent="0.3">
      <c r="A4" s="1"/>
      <c r="B4" s="34"/>
      <c r="C4" s="35" t="s">
        <v>215</v>
      </c>
      <c r="D4" s="35" t="s">
        <v>216</v>
      </c>
      <c r="E4" s="35" t="s">
        <v>217</v>
      </c>
      <c r="F4" s="35" t="s">
        <v>218</v>
      </c>
      <c r="G4" s="35" t="s">
        <v>219</v>
      </c>
      <c r="H4" s="35" t="s">
        <v>220</v>
      </c>
      <c r="I4" s="35" t="s">
        <v>221</v>
      </c>
      <c r="J4" s="35" t="s">
        <v>222</v>
      </c>
      <c r="K4" s="35" t="s">
        <v>223</v>
      </c>
      <c r="L4" s="35" t="s">
        <v>224</v>
      </c>
      <c r="M4" s="36"/>
    </row>
    <row r="5" spans="1:13" x14ac:dyDescent="0.3">
      <c r="A5" s="5" t="s">
        <v>211</v>
      </c>
      <c r="B5" s="32">
        <f>PMT(B1/12,B3,-B2)</f>
        <v>10623.522355634139</v>
      </c>
      <c r="C5" s="5">
        <v>12</v>
      </c>
      <c r="D5" s="5">
        <v>24</v>
      </c>
      <c r="E5" s="5">
        <v>36</v>
      </c>
      <c r="F5" s="5">
        <v>48</v>
      </c>
      <c r="G5" s="5">
        <v>60</v>
      </c>
      <c r="H5" s="5">
        <v>72</v>
      </c>
      <c r="I5" s="5">
        <v>84</v>
      </c>
      <c r="J5" s="5">
        <v>96</v>
      </c>
      <c r="K5" s="5">
        <v>108</v>
      </c>
      <c r="L5" s="5">
        <v>120</v>
      </c>
    </row>
    <row r="6" spans="1:13" x14ac:dyDescent="0.3">
      <c r="A6" s="6"/>
      <c r="B6" s="33">
        <v>100000</v>
      </c>
      <c r="C6" s="37">
        <f t="dataTable" ref="C6:L17" dt2D="1" dtr="1" r1="B3" r2="B2"/>
        <v>8791.5887230009594</v>
      </c>
      <c r="D6" s="37">
        <v>4614.4926337516508</v>
      </c>
      <c r="E6" s="37">
        <v>3226.7187193837485</v>
      </c>
      <c r="F6" s="37">
        <v>2536.2583434747189</v>
      </c>
      <c r="G6" s="37">
        <v>2124.7044711268277</v>
      </c>
      <c r="H6" s="37">
        <v>1852.5837775770478</v>
      </c>
      <c r="I6" s="37">
        <v>1660.1184026885908</v>
      </c>
      <c r="J6" s="37">
        <v>1517.416409780433</v>
      </c>
      <c r="K6" s="37">
        <v>1407.8686217371223</v>
      </c>
      <c r="L6" s="37">
        <v>1321.5073688176165</v>
      </c>
    </row>
    <row r="7" spans="1:13" x14ac:dyDescent="0.3">
      <c r="A7" s="6"/>
      <c r="B7" s="33">
        <v>200000</v>
      </c>
      <c r="C7" s="37">
        <v>17583.177446001919</v>
      </c>
      <c r="D7" s="37">
        <v>9228.9852675033017</v>
      </c>
      <c r="E7" s="37">
        <v>6453.437438767497</v>
      </c>
      <c r="F7" s="37">
        <v>5072.5166869494378</v>
      </c>
      <c r="G7" s="37">
        <v>4249.4089422536554</v>
      </c>
      <c r="H7" s="37">
        <v>3705.1675551540957</v>
      </c>
      <c r="I7" s="37">
        <v>3320.2368053771816</v>
      </c>
      <c r="J7" s="37">
        <v>3034.832819560866</v>
      </c>
      <c r="K7" s="37">
        <v>2815.7372434742447</v>
      </c>
      <c r="L7" s="37">
        <v>2643.0147376352329</v>
      </c>
    </row>
    <row r="8" spans="1:13" x14ac:dyDescent="0.3">
      <c r="A8" s="6"/>
      <c r="B8" s="33">
        <v>300000</v>
      </c>
      <c r="C8" s="37">
        <v>26374.766169002876</v>
      </c>
      <c r="D8" s="37">
        <v>13843.477901254952</v>
      </c>
      <c r="E8" s="37">
        <v>9680.1561581512451</v>
      </c>
      <c r="F8" s="37">
        <v>7608.7750304241563</v>
      </c>
      <c r="G8" s="37">
        <v>6374.1134133804835</v>
      </c>
      <c r="H8" s="37">
        <v>5557.7513327311435</v>
      </c>
      <c r="I8" s="37">
        <v>4980.3552080657719</v>
      </c>
      <c r="J8" s="37">
        <v>4552.2492293412988</v>
      </c>
      <c r="K8" s="37">
        <v>4223.6058652113679</v>
      </c>
      <c r="L8" s="37">
        <v>3964.52210645285</v>
      </c>
    </row>
    <row r="9" spans="1:13" x14ac:dyDescent="0.3">
      <c r="A9" s="6"/>
      <c r="B9" s="33">
        <v>400000</v>
      </c>
      <c r="C9" s="37">
        <v>35166.354892003837</v>
      </c>
      <c r="D9" s="37">
        <v>18457.970535006603</v>
      </c>
      <c r="E9" s="37">
        <v>12906.874877534994</v>
      </c>
      <c r="F9" s="37">
        <v>10145.033373898876</v>
      </c>
      <c r="G9" s="37">
        <v>8498.8178845073107</v>
      </c>
      <c r="H9" s="37">
        <v>7410.3351103081914</v>
      </c>
      <c r="I9" s="37">
        <v>6640.4736107543631</v>
      </c>
      <c r="J9" s="37">
        <v>6069.6656391217321</v>
      </c>
      <c r="K9" s="37">
        <v>5631.4744869484894</v>
      </c>
      <c r="L9" s="37">
        <v>5286.0294752704658</v>
      </c>
    </row>
    <row r="10" spans="1:13" x14ac:dyDescent="0.3">
      <c r="A10" s="6"/>
      <c r="B10" s="33">
        <v>500000</v>
      </c>
      <c r="C10" s="37">
        <v>43957.943615004799</v>
      </c>
      <c r="D10" s="37">
        <v>23072.463168758251</v>
      </c>
      <c r="E10" s="37">
        <v>16133.593596918743</v>
      </c>
      <c r="F10" s="37">
        <v>12681.291717373595</v>
      </c>
      <c r="G10" s="37">
        <v>10623.522355634139</v>
      </c>
      <c r="H10" s="37">
        <v>9262.9188878852383</v>
      </c>
      <c r="I10" s="37">
        <v>8300.5920134429543</v>
      </c>
      <c r="J10" s="37">
        <v>7587.0820489021653</v>
      </c>
      <c r="K10" s="37">
        <v>7039.3431086856126</v>
      </c>
      <c r="L10" s="37">
        <v>6607.5368440880829</v>
      </c>
    </row>
    <row r="11" spans="1:13" x14ac:dyDescent="0.3">
      <c r="A11" s="6"/>
      <c r="B11" s="33">
        <v>600000</v>
      </c>
      <c r="C11" s="37">
        <v>52749.532338005753</v>
      </c>
      <c r="D11" s="37">
        <v>27686.955802509903</v>
      </c>
      <c r="E11" s="37">
        <v>19360.31231630249</v>
      </c>
      <c r="F11" s="37">
        <v>15217.550060848313</v>
      </c>
      <c r="G11" s="37">
        <v>12748.226826760967</v>
      </c>
      <c r="H11" s="37">
        <v>11115.502665462287</v>
      </c>
      <c r="I11" s="37">
        <v>9960.7104161315438</v>
      </c>
      <c r="J11" s="37">
        <v>9104.4984586825976</v>
      </c>
      <c r="K11" s="37">
        <v>8447.2117304227359</v>
      </c>
      <c r="L11" s="37">
        <v>7929.0442129057001</v>
      </c>
    </row>
    <row r="12" spans="1:13" x14ac:dyDescent="0.3">
      <c r="A12" s="6"/>
      <c r="B12" s="33">
        <v>700000</v>
      </c>
      <c r="C12" s="37">
        <v>61541.121061006714</v>
      </c>
      <c r="D12" s="37">
        <v>32301.448436261555</v>
      </c>
      <c r="E12" s="37">
        <v>22587.031035686239</v>
      </c>
      <c r="F12" s="37">
        <v>17753.80840432303</v>
      </c>
      <c r="G12" s="37">
        <v>14872.931297887793</v>
      </c>
      <c r="H12" s="37">
        <v>12968.086443039334</v>
      </c>
      <c r="I12" s="37">
        <v>11620.828818820135</v>
      </c>
      <c r="J12" s="37">
        <v>10621.914868463033</v>
      </c>
      <c r="K12" s="37">
        <v>9855.0803521598573</v>
      </c>
      <c r="L12" s="37">
        <v>9250.5515817233172</v>
      </c>
    </row>
    <row r="13" spans="1:13" x14ac:dyDescent="0.3">
      <c r="A13" s="6"/>
      <c r="B13" s="33">
        <v>800000</v>
      </c>
      <c r="C13" s="37">
        <v>70332.709784007675</v>
      </c>
      <c r="D13" s="37">
        <v>36915.941070013207</v>
      </c>
      <c r="E13" s="37">
        <v>25813.749755069988</v>
      </c>
      <c r="F13" s="37">
        <v>20290.066747797751</v>
      </c>
      <c r="G13" s="37">
        <v>16997.635769014621</v>
      </c>
      <c r="H13" s="37">
        <v>14820.670220616383</v>
      </c>
      <c r="I13" s="37">
        <v>13280.947221508726</v>
      </c>
      <c r="J13" s="37">
        <v>12139.331278243464</v>
      </c>
      <c r="K13" s="37">
        <v>11262.948973896979</v>
      </c>
      <c r="L13" s="37">
        <v>10572.058950540932</v>
      </c>
    </row>
    <row r="14" spans="1:13" x14ac:dyDescent="0.3">
      <c r="A14" s="6"/>
      <c r="B14" s="33">
        <v>900000</v>
      </c>
      <c r="C14" s="37">
        <v>79124.298507008643</v>
      </c>
      <c r="D14" s="37">
        <v>41530.433703764851</v>
      </c>
      <c r="E14" s="37">
        <v>29040.468474453737</v>
      </c>
      <c r="F14" s="37">
        <v>22826.325091272469</v>
      </c>
      <c r="G14" s="37">
        <v>19122.340240141446</v>
      </c>
      <c r="H14" s="37">
        <v>16673.253998193431</v>
      </c>
      <c r="I14" s="37">
        <v>14941.065624197316</v>
      </c>
      <c r="J14" s="37">
        <v>13656.747688023899</v>
      </c>
      <c r="K14" s="37">
        <v>12670.817595634104</v>
      </c>
      <c r="L14" s="37">
        <v>11893.566319358548</v>
      </c>
    </row>
    <row r="15" spans="1:13" x14ac:dyDescent="0.3">
      <c r="A15" s="6"/>
      <c r="B15" s="33">
        <v>1000000</v>
      </c>
      <c r="C15" s="37">
        <v>87915.887230009597</v>
      </c>
      <c r="D15" s="37">
        <v>46144.926337516503</v>
      </c>
      <c r="E15" s="37">
        <v>32267.187193837486</v>
      </c>
      <c r="F15" s="37">
        <v>25362.58343474719</v>
      </c>
      <c r="G15" s="37">
        <v>21247.044711268278</v>
      </c>
      <c r="H15" s="37">
        <v>18525.837775770477</v>
      </c>
      <c r="I15" s="37">
        <v>16601.184026885909</v>
      </c>
      <c r="J15" s="37">
        <v>15174.164097804331</v>
      </c>
      <c r="K15" s="37">
        <v>14078.686217371225</v>
      </c>
      <c r="L15" s="37">
        <v>13215.073688176166</v>
      </c>
    </row>
    <row r="16" spans="1:13" x14ac:dyDescent="0.3">
      <c r="A16" s="6"/>
      <c r="B16" s="33">
        <v>1100000</v>
      </c>
      <c r="C16" s="37">
        <v>96707.475953010566</v>
      </c>
      <c r="D16" s="37">
        <v>50759.418971268155</v>
      </c>
      <c r="E16" s="37">
        <v>35493.905913221228</v>
      </c>
      <c r="F16" s="37">
        <v>27898.841778221908</v>
      </c>
      <c r="G16" s="37">
        <v>23371.749182395106</v>
      </c>
      <c r="H16" s="37">
        <v>20378.421553347529</v>
      </c>
      <c r="I16" s="37">
        <v>18261.302429574498</v>
      </c>
      <c r="J16" s="37">
        <v>16691.580507584764</v>
      </c>
      <c r="K16" s="37">
        <v>15486.554839108347</v>
      </c>
      <c r="L16" s="37">
        <v>14536.581056993782</v>
      </c>
    </row>
    <row r="17" spans="1:12" x14ac:dyDescent="0.3">
      <c r="A17" s="6"/>
      <c r="B17" s="33">
        <v>1200000</v>
      </c>
      <c r="C17" s="37">
        <v>105499.06467601151</v>
      </c>
      <c r="D17" s="37">
        <v>55373.911605019806</v>
      </c>
      <c r="E17" s="37">
        <v>38720.62463260498</v>
      </c>
      <c r="F17" s="37">
        <v>30435.100121696625</v>
      </c>
      <c r="G17" s="37">
        <v>25496.453653521934</v>
      </c>
      <c r="H17" s="37">
        <v>22231.005330924574</v>
      </c>
      <c r="I17" s="37">
        <v>19921.420832263088</v>
      </c>
      <c r="J17" s="37">
        <v>18208.996917365195</v>
      </c>
      <c r="K17" s="37">
        <v>16894.423460845472</v>
      </c>
      <c r="L17" s="37">
        <v>15858.0884258114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MODULE3 part16 </vt:lpstr>
      <vt:lpstr>part17</vt:lpstr>
      <vt:lpstr>part18</vt:lpstr>
      <vt:lpstr>PART19</vt:lpstr>
      <vt:lpstr>part20</vt:lpstr>
      <vt:lpstr>PART20-1</vt:lpstr>
      <vt:lpstr>PART20-2</vt:lpstr>
      <vt:lpstr>PART20-3</vt:lpstr>
      <vt:lpstr>part22</vt:lpstr>
      <vt:lpstr>part23</vt:lpstr>
      <vt:lpstr>Scenario Summary part-&gt;23-1</vt:lpstr>
      <vt:lpstr>part24</vt:lpstr>
      <vt:lpstr>part25</vt:lpstr>
      <vt:lpstr>'MODULE3 part16 '!Criteria</vt:lpstr>
      <vt:lpstr>'MODULE3 part16 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Sudhanshu Kumar</dc:creator>
  <cp:lastModifiedBy>Sudhanshu Kumar</cp:lastModifiedBy>
  <dcterms:created xsi:type="dcterms:W3CDTF">2025-08-24T11:39:48Z</dcterms:created>
  <dcterms:modified xsi:type="dcterms:W3CDTF">2025-08-29T18:33:05Z</dcterms:modified>
</cp:coreProperties>
</file>